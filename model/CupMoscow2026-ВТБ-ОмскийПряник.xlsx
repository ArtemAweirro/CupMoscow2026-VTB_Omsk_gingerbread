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Допущения" sheetId="2" state="visible" r:id="rId2"/>
    <sheet name="База" sheetId="3" state="visible" r:id="rId3"/>
    <sheet name="KPI" sheetId="4" state="visible" r:id="rId4"/>
    <sheet name="Ложные срабатывания" sheetId="5" state="visible" r:id="rId5"/>
    <sheet name="NPS" sheetId="6" state="visible" r:id="rId6"/>
    <sheet name="Затраты" sheetId="7" state="visible" r:id="rId7"/>
    <sheet name="Эффект" sheetId="8" state="visible" r:id="rId8"/>
    <sheet name="Сценарии" sheetId="9" state="visible" r:id="rId9"/>
    <sheet name="Чувствительность" sheetId="10" state="visible" r:id="rId10"/>
    <sheet name="Вариант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0%"/>
    <numFmt numFmtId="167" formatCode="#,##0.000"/>
    <numFmt numFmtId="168" formatCode="+0.00;-0.00;0.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164" fontId="6" fillId="4" borderId="1" pivotButton="0" quotePrefix="0" xfId="0"/>
    <xf numFmtId="3" fontId="6" fillId="4" borderId="1" pivotButton="0" quotePrefix="0" xfId="0"/>
    <xf numFmtId="4" fontId="6" fillId="4" borderId="1" pivotButton="0" quotePrefix="0" xfId="0"/>
    <xf numFmtId="165" fontId="6" fillId="4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4" fontId="7" fillId="0" borderId="1" pivotButton="0" quotePrefix="0" xfId="0"/>
    <xf numFmtId="0" fontId="2" fillId="0" borderId="1" pivotButton="0" quotePrefix="0" xfId="0"/>
    <xf numFmtId="3" fontId="7" fillId="0" borderId="1" pivotButton="0" quotePrefix="0" xfId="0"/>
    <xf numFmtId="165" fontId="7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168" fontId="5" fillId="0" borderId="1" pivotButton="0" quotePrefix="0" xfId="0"/>
    <xf numFmtId="168" fontId="7" fillId="0" borderId="1" pivotButton="0" quotePrefix="0" xfId="0"/>
    <xf numFmtId="167" fontId="7" fillId="0" borderId="1" pivotButton="0" quotePrefix="0" xfId="0"/>
    <xf numFmtId="167" fontId="5" fillId="0" borderId="1" pivotButton="0" quotePrefix="0" xfId="0"/>
    <xf numFmtId="4" fontId="5" fillId="5" borderId="1" pivotButton="0" quotePrefix="0" xfId="0"/>
    <xf numFmtId="0" fontId="5" fillId="5" borderId="1" pivotButton="0" quotePrefix="0" xfId="0"/>
    <xf numFmtId="164" fontId="5" fillId="5" borderId="1" pivotButton="0" quotePrefix="0" xfId="0"/>
    <xf numFmtId="3" fontId="5" fillId="5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Кейс ВТБ «Деньги под защитой» | Cup Moscow 2026 | Команда «Омский пряник»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3" t="inlineStr">
        <is>
          <t>Назначение</t>
        </is>
      </c>
      <c r="B4" s="4" t="inlineStr">
        <is>
          <t>Модель экономики и KPI решения «Адаптивное трение» (В3). Фокус: переводы физлиц в ДБО (СБП и счета), сценарии «безопасный счет» и захват доступа.</t>
        </is>
      </c>
    </row>
    <row r="5">
      <c r="A5" s="3" t="inlineStr">
        <is>
          <t>Статус</t>
        </is>
      </c>
      <c r="B5" s="4" t="inlineStr">
        <is>
          <t>Иллюстрация механизма, не прогноз. Внутренних данных ВТБ нет: гипотезы помечены на листе «Допущения».</t>
        </is>
      </c>
    </row>
    <row r="6">
      <c r="A6" s="3" t="inlineStr">
        <is>
          <t>Как пользоваться</t>
        </is>
      </c>
      <c r="B6" s="4" t="inlineStr">
        <is>
          <t>Меняйте только желтые ячейки на листе «Допущения». Все остальные листы пересчитываются формулами.</t>
        </is>
      </c>
    </row>
    <row r="7">
      <c r="A7" s="3" t="inlineStr">
        <is>
          <t>Цвета</t>
        </is>
      </c>
      <c r="B7" s="4" t="inlineStr">
        <is>
          <t>Синий шрифт на желтом: вход. Черный: формула. Зеленый: ссылка на другой лист. Зеленая заливка: ключевой результат.</t>
        </is>
      </c>
    </row>
    <row r="8">
      <c r="A8" s="3" t="inlineStr">
        <is>
          <t>Словарь</t>
        </is>
      </c>
      <c r="B8" s="4" t="inlineStr">
        <is>
          <t>ОБДС: операция без добровольного согласия клиента. Сигнал: срабатывание антифрода. Ограничение: реально остановленная операция (пауза, отказ, блок). Сохраненные средства клиентов: KPI, не доход банка.</t>
        </is>
      </c>
    </row>
    <row r="9">
      <c r="A9" s="3" t="inlineStr">
        <is>
          <t>Метрики</t>
        </is>
      </c>
      <c r="B9" s="4" t="inlineStr">
        <is>
          <t>Точность = TP/(TP+FP); доля ложных сигналов = FP/(TP+FP); доля ложных срабатываний среди законных = FP/(FP+TN); полнота = TP/(TP+FN).</t>
        </is>
      </c>
    </row>
    <row r="10">
      <c r="A10" s="3" t="inlineStr">
        <is>
          <t>Убыток от ошибки</t>
        </is>
      </c>
      <c r="B10" s="4" t="inlineStr">
        <is>
          <t>Сумма отклоненного законного перевода не убыток банка. Убыток = обращение в поддержку + разбор + недополученный доход + отток клиентов.</t>
        </is>
      </c>
    </row>
    <row r="11">
      <c r="A11" s="3" t="inlineStr">
        <is>
          <t>Регуляторный слой</t>
        </is>
      </c>
      <c r="B11" s="4" t="inlineStr">
        <is>
          <t>12 признаков ОБДС по приказу Банка России от 05.11.2025 № ОД-2506 (с 01.01.2026; ст. 8 161-ФЗ) работают отдельно и не переопределяются моделью.</t>
        </is>
      </c>
    </row>
    <row r="12">
      <c r="A12" s="3" t="inlineStr"/>
      <c r="B12" s="4" t="inlineStr"/>
    </row>
    <row r="13">
      <c r="A13" s="5" t="inlineStr">
        <is>
          <t>Лист</t>
        </is>
      </c>
      <c r="B13" s="5" t="inlineStr">
        <is>
          <t>Содержание</t>
        </is>
      </c>
    </row>
    <row r="14">
      <c r="A14" s="3" t="inlineStr">
        <is>
          <t>Допущения</t>
        </is>
      </c>
      <c r="B14" s="4" t="inlineStr">
        <is>
          <t>Все входные параметры с источником, статусом и диапазоном</t>
        </is>
      </c>
    </row>
    <row r="15">
      <c r="A15" s="3" t="inlineStr">
        <is>
          <t>База</t>
        </is>
      </c>
      <c r="B15" s="4" t="inlineStr">
        <is>
          <t>Базовые потери (квартал → год), доля ВТБ, число операций, средний чек</t>
        </is>
      </c>
    </row>
    <row r="16">
      <c r="A16" s="3" t="inlineStr">
        <is>
          <t>KPI</t>
        </is>
      </c>
      <c r="B16" s="4" t="inlineStr">
        <is>
          <t>Пять показателей «было → стало» для трех сценариев (слайд 6)</t>
        </is>
      </c>
    </row>
    <row r="17">
      <c r="A17" s="3" t="inlineStr">
        <is>
          <t>Ложные срабатывания</t>
        </is>
      </c>
      <c r="B17" s="4" t="inlineStr">
        <is>
          <t>FP, TN, ошибочные ограничения, стоимость одного, суммарная стоимость</t>
        </is>
      </c>
    </row>
    <row r="18">
      <c r="A18" s="3" t="inlineStr">
        <is>
          <t>NPS</t>
        </is>
      </c>
      <c r="B18" s="4" t="inlineStr">
        <is>
          <t>Затронутые клиенты, разница NPS, итоговое изменение</t>
        </is>
      </c>
    </row>
    <row r="19">
      <c r="A19" s="3" t="inlineStr">
        <is>
          <t>Затраты</t>
        </is>
      </c>
      <c r="B19" s="4" t="inlineStr">
        <is>
          <t>Смета по статьям и месяцам (≤ 50 млн), эксплуатация отдельно</t>
        </is>
      </c>
    </row>
    <row r="20">
      <c r="A20" s="3" t="inlineStr">
        <is>
          <t>Эффект</t>
        </is>
      </c>
      <c r="B20" s="4" t="inlineStr">
        <is>
          <t>Избежанный расход + экономия на ошибочных ограничениях + удержание − затраты; окупаемость, NPV</t>
        </is>
      </c>
    </row>
    <row r="21">
      <c r="A21" s="3" t="inlineStr">
        <is>
          <t>Сценарии</t>
        </is>
      </c>
      <c r="B21" s="4" t="inlineStr">
        <is>
          <t>Пессимистичный / базовый / оптимистичный</t>
        </is>
      </c>
    </row>
    <row r="22">
      <c r="A22" s="3" t="inlineStr">
        <is>
          <t>Чувствительность</t>
        </is>
      </c>
      <c r="B22" s="4" t="inlineStr">
        <is>
          <t>Влияние ±30% по ключевым допущениям на чистый годовой эффект (торнадо)</t>
        </is>
      </c>
    </row>
    <row r="23">
      <c r="A23" s="3" t="inlineStr">
        <is>
          <t>Варианты</t>
        </is>
      </c>
      <c r="B23" s="4" t="inlineStr">
        <is>
          <t>Взвешенная оценка В1-В4, стоимость и срок, метрики симуляции на синтетических данных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8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1" customWidth="1" min="8" max="8"/>
    <col width="70" customWidth="1" min="9" max="9"/>
  </cols>
  <sheetData>
    <row r="1">
      <c r="A1" s="1" t="inlineStr">
        <is>
          <t>Допущения: все входы модели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3">
      <c r="A3" s="2" t="inlineStr">
        <is>
          <t>Желтые ячейки с синим шрифтом: входы (менять только здесь). Черный шрифт: формулы. Зеленый: ссылки на другие листы. Сценарии: П = пессимист, Б = база, О = оптимист.</t>
        </is>
      </c>
    </row>
    <row r="5">
      <c r="A5" s="5" t="inlineStr">
        <is>
          <t>№</t>
        </is>
      </c>
      <c r="B5" s="5" t="inlineStr">
        <is>
          <t>Параметр</t>
        </is>
      </c>
      <c r="C5" s="5" t="inlineStr">
        <is>
          <t>Пессимист</t>
        </is>
      </c>
      <c r="D5" s="5" t="inlineStr">
        <is>
          <t>База</t>
        </is>
      </c>
      <c r="E5" s="5" t="inlineStr">
        <is>
          <t>Оптимист</t>
        </is>
      </c>
      <c r="F5" s="5" t="inlineStr">
        <is>
          <t>Ед.</t>
        </is>
      </c>
      <c r="G5" s="5" t="inlineStr">
        <is>
          <t>Диапазон</t>
        </is>
      </c>
      <c r="H5" s="5" t="inlineStr">
        <is>
          <t>Статус</t>
        </is>
      </c>
      <c r="I5" s="5" t="inlineStr">
        <is>
          <t>Источник / комментарий</t>
        </is>
      </c>
    </row>
    <row r="6">
      <c r="A6" s="6" t="inlineStr">
        <is>
          <t>Рамки кейса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inlineStr">
        <is>
          <t>A1</t>
        </is>
      </c>
      <c r="B7" s="7" t="inlineStr">
        <is>
          <t>Число клиентов-физлиц ВТБ</t>
        </is>
      </c>
      <c r="D7" s="8" t="n">
        <v>30.3</v>
      </c>
      <c r="F7" s="7" t="inlineStr">
        <is>
          <t>млн</t>
        </is>
      </c>
      <c r="G7" s="7" t="inlineStr"/>
      <c r="H7" s="7" t="inlineStr">
        <is>
          <t>кейс</t>
        </is>
      </c>
      <c r="I7" s="7" t="inlineStr">
        <is>
          <t>Материалы кейса, стр. 6; решение команды (24,5 млн не используем). Справочно: МСФО ВТБ за I п/г 2026: 31,3 млн активных розничных клиентов</t>
        </is>
      </c>
    </row>
    <row r="8">
      <c r="A8" s="7" t="inlineStr">
        <is>
          <t>A2</t>
        </is>
      </c>
      <c r="B8" s="7" t="inlineStr">
        <is>
          <t>Пользователи «ВТБ Онлайн»</t>
        </is>
      </c>
      <c r="D8" s="8" t="n">
        <v>22</v>
      </c>
      <c r="F8" s="7" t="inlineStr">
        <is>
          <t>млн</t>
        </is>
      </c>
      <c r="G8" s="7" t="inlineStr">
        <is>
          <t>&gt; 22</t>
        </is>
      </c>
      <c r="H8" s="7" t="inlineStr">
        <is>
          <t>кейс</t>
        </is>
      </c>
      <c r="I8" s="7" t="inlineStr">
        <is>
          <t>Материалы кейса. Справочно: СМИ на конец 2025 г. ≈ 27 млн MAU; 22 млн консервативно</t>
        </is>
      </c>
    </row>
    <row r="9">
      <c r="A9" s="7" t="inlineStr">
        <is>
          <t>R1</t>
        </is>
      </c>
      <c r="B9" s="7" t="inlineStr">
        <is>
          <t>Лимит бюджета внедрения</t>
        </is>
      </c>
      <c r="D9" s="8" t="n">
        <v>50</v>
      </c>
      <c r="F9" s="7" t="inlineStr">
        <is>
          <t>млн руб.</t>
        </is>
      </c>
      <c r="G9" s="7" t="inlineStr"/>
      <c r="H9" s="7" t="inlineStr">
        <is>
          <t>кейс</t>
        </is>
      </c>
      <c r="I9" s="7" t="inlineStr">
        <is>
          <t>Ограничение кейса</t>
        </is>
      </c>
    </row>
    <row r="10">
      <c r="A10" s="7" t="inlineStr">
        <is>
          <t>R2</t>
        </is>
      </c>
      <c r="B10" s="7" t="inlineStr">
        <is>
          <t>Лимит срока внедрения</t>
        </is>
      </c>
      <c r="D10" s="9" t="n">
        <v>6</v>
      </c>
      <c r="F10" s="7" t="inlineStr">
        <is>
          <t>мес.</t>
        </is>
      </c>
      <c r="G10" s="7" t="inlineStr"/>
      <c r="H10" s="7" t="inlineStr">
        <is>
          <t>кейс</t>
        </is>
      </c>
      <c r="I10" s="7" t="inlineStr">
        <is>
          <t>Ограничение кейса</t>
        </is>
      </c>
    </row>
    <row r="11">
      <c r="A11" s="6" t="inlineStr">
        <is>
          <t>Данные рынка: Банк России, обзор операций без добровольного согласия клиентов (ОБДС)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inlineStr">
        <is>
          <t>M1</t>
        </is>
      </c>
      <c r="B12" s="7" t="inlineStr">
        <is>
          <t>ОБДС, все клиенты, I кв. 2026: сумма</t>
        </is>
      </c>
      <c r="D12" s="10" t="n">
        <v>7397.91</v>
      </c>
      <c r="F12" s="7" t="inlineStr">
        <is>
          <t>млн руб.</t>
        </is>
      </c>
      <c r="G12" s="7" t="inlineStr"/>
      <c r="H12" s="7" t="inlineStr">
        <is>
          <t>факт</t>
        </is>
      </c>
      <c r="I12" s="7" t="inlineStr">
        <is>
          <t>Банк России, обзор ОБДС за I кв. 2026: https://cbr.ru/statistics/ib/review_1q_2026/</t>
        </is>
      </c>
    </row>
    <row r="13">
      <c r="A13" s="7" t="inlineStr">
        <is>
          <t>M2</t>
        </is>
      </c>
      <c r="B13" s="7" t="inlineStr">
        <is>
          <t>ОБДС, все клиенты, I кв. 2026: операций</t>
        </is>
      </c>
      <c r="D13" s="9" t="n">
        <v>495761</v>
      </c>
      <c r="F13" s="7" t="inlineStr">
        <is>
          <t>шт.</t>
        </is>
      </c>
      <c r="G13" s="7" t="inlineStr"/>
      <c r="H13" s="7" t="inlineStr">
        <is>
          <t>факт</t>
        </is>
      </c>
      <c r="I13" s="7" t="inlineStr">
        <is>
          <t>Банк России, обзор ОБДС за I кв. 2026: https://cbr.ru/statistics/ib/review_1q_2026/</t>
        </is>
      </c>
    </row>
    <row r="14">
      <c r="A14" s="7" t="inlineStr">
        <is>
          <t>M3</t>
        </is>
      </c>
      <c r="B14" s="7" t="inlineStr">
        <is>
          <t>ОБДС, все клиенты, II кв. 2026: сумма</t>
        </is>
      </c>
      <c r="D14" s="10" t="n">
        <v>7350.72</v>
      </c>
      <c r="F14" s="7" t="inlineStr">
        <is>
          <t>млн руб.</t>
        </is>
      </c>
      <c r="G14" s="7" t="inlineStr"/>
      <c r="H14" s="7" t="inlineStr">
        <is>
          <t>факт</t>
        </is>
      </c>
      <c r="I14" s="7" t="inlineStr">
        <is>
          <t>Банк России, обзор ОБДС за II кв. 2026 (опубл. 04.08.2026): https://cbr.ru/statistics/ib/review_2q_2026/</t>
        </is>
      </c>
    </row>
    <row r="15">
      <c r="A15" s="7" t="inlineStr">
        <is>
          <t>M4</t>
        </is>
      </c>
      <c r="B15" s="7" t="inlineStr">
        <is>
          <t>ОБДС, все клиенты, II кв. 2026: операций</t>
        </is>
      </c>
      <c r="D15" s="9" t="n">
        <v>458655</v>
      </c>
      <c r="F15" s="7" t="inlineStr">
        <is>
          <t>шт.</t>
        </is>
      </c>
      <c r="G15" s="7" t="inlineStr"/>
      <c r="H15" s="7" t="inlineStr">
        <is>
          <t>факт</t>
        </is>
      </c>
      <c r="I15" s="7" t="inlineStr">
        <is>
          <t>Банк России, обзор ОБДС за II кв. 2026 (опубл. 04.08.2026): https://cbr.ru/statistics/ib/review_2q_2026/</t>
        </is>
      </c>
    </row>
    <row r="16">
      <c r="A16" s="7" t="inlineStr">
        <is>
          <t>M5</t>
        </is>
      </c>
      <c r="B16" s="7" t="inlineStr">
        <is>
          <t>Физлица, переводы со счета (ДБО), II кв. 2026: сумма</t>
        </is>
      </c>
      <c r="D16" s="10" t="n">
        <v>2.17</v>
      </c>
      <c r="F16" s="7" t="inlineStr">
        <is>
          <t>млрд руб.</t>
        </is>
      </c>
      <c r="G16" s="7" t="inlineStr"/>
      <c r="H16" s="7" t="inlineStr">
        <is>
          <t>факт</t>
        </is>
      </c>
      <c r="I16" s="7" t="inlineStr">
        <is>
          <t>Банк России, обзор ОБДС за II кв. 2026 (опубл. 04.08.2026): https://cbr.ru/statistics/ib/review_2q_2026/</t>
        </is>
      </c>
    </row>
    <row r="17">
      <c r="A17" s="7" t="inlineStr">
        <is>
          <t>M6</t>
        </is>
      </c>
      <c r="B17" s="7" t="inlineStr">
        <is>
          <t>Физлица, переводы со счета (ДБО), II кв. 2026: операций</t>
        </is>
      </c>
      <c r="D17" s="10" t="n">
        <v>84.02</v>
      </c>
      <c r="F17" s="7" t="inlineStr">
        <is>
          <t>тыс.</t>
        </is>
      </c>
      <c r="G17" s="7" t="inlineStr"/>
      <c r="H17" s="7" t="inlineStr">
        <is>
          <t>факт</t>
        </is>
      </c>
      <c r="I17" s="7" t="inlineStr">
        <is>
          <t>Банк России, обзор ОБДС за II кв. 2026 (опубл. 04.08.2026): https://cbr.ru/statistics/ib/review_2q_2026/</t>
        </is>
      </c>
    </row>
    <row r="18">
      <c r="A18" s="7" t="inlineStr">
        <is>
          <t>M7</t>
        </is>
      </c>
      <c r="B18" s="7" t="inlineStr">
        <is>
          <t>Физлица, СБП, II кв. 2026: сумма</t>
        </is>
      </c>
      <c r="D18" s="10" t="n">
        <v>2.74</v>
      </c>
      <c r="F18" s="7" t="inlineStr">
        <is>
          <t>млрд руб.</t>
        </is>
      </c>
      <c r="G18" s="7" t="inlineStr"/>
      <c r="H18" s="7" t="inlineStr">
        <is>
          <t>факт</t>
        </is>
      </c>
      <c r="I18" s="7" t="inlineStr">
        <is>
          <t>Банк России, обзор ОБДС за II кв. 2026 (опубл. 04.08.2026): https://cbr.ru/statistics/ib/review_2q_2026/</t>
        </is>
      </c>
    </row>
    <row r="19">
      <c r="A19" s="7" t="inlineStr">
        <is>
          <t>M8</t>
        </is>
      </c>
      <c r="B19" s="7" t="inlineStr">
        <is>
          <t>Физлица, СБП, II кв. 2026: операций</t>
        </is>
      </c>
      <c r="D19" s="10" t="n">
        <v>129.06</v>
      </c>
      <c r="F19" s="7" t="inlineStr">
        <is>
          <t>тыс.</t>
        </is>
      </c>
      <c r="G19" s="7" t="inlineStr"/>
      <c r="H19" s="7" t="inlineStr">
        <is>
          <t>факт</t>
        </is>
      </c>
      <c r="I19" s="7" t="inlineStr">
        <is>
          <t>Банк России, обзор ОБДС за II кв. 2026 (опубл. 04.08.2026): https://cbr.ru/statistics/ib/review_2q_2026/</t>
        </is>
      </c>
    </row>
    <row r="20">
      <c r="A20" s="7" t="inlineStr">
        <is>
          <t>M9</t>
        </is>
      </c>
      <c r="B20" s="7" t="inlineStr">
        <is>
          <t>Физлица, карты, II кв. 2026: сумма (вне фокуса)</t>
        </is>
      </c>
      <c r="D20" s="10" t="n">
        <v>1.3</v>
      </c>
      <c r="F20" s="7" t="inlineStr">
        <is>
          <t>млрд руб.</t>
        </is>
      </c>
      <c r="G20" s="7" t="inlineStr"/>
      <c r="H20" s="7" t="inlineStr">
        <is>
          <t>факт</t>
        </is>
      </c>
      <c r="I20" s="7" t="inlineStr">
        <is>
          <t>Банк России, обзор ОБДС за II кв. 2026 (опубл. 04.08.2026): https://cbr.ru/statistics/ib/review_2q_2026/</t>
        </is>
      </c>
    </row>
    <row r="21">
      <c r="A21" s="7" t="inlineStr">
        <is>
          <t>M10</t>
        </is>
      </c>
      <c r="B21" s="7" t="inlineStr">
        <is>
          <t>Физлица, карты, II кв. 2026: операций (вне фокуса)</t>
        </is>
      </c>
      <c r="D21" s="10" t="n">
        <v>237.03</v>
      </c>
      <c r="F21" s="7" t="inlineStr">
        <is>
          <t>тыс.</t>
        </is>
      </c>
      <c r="G21" s="7" t="inlineStr"/>
      <c r="H21" s="7" t="inlineStr">
        <is>
          <t>факт</t>
        </is>
      </c>
      <c r="I21" s="7" t="inlineStr">
        <is>
          <t>Банк России, обзор ОБДС за II кв. 2026 (опубл. 04.08.2026): https://cbr.ru/statistics/ib/review_2q_2026/</t>
        </is>
      </c>
    </row>
    <row r="22">
      <c r="A22" s="7" t="inlineStr">
        <is>
          <t>M11</t>
        </is>
      </c>
      <c r="B22" s="7" t="inlineStr">
        <is>
          <t>Физлица, электронные кошельки, II кв. 2026: сумма (вне фокуса)</t>
        </is>
      </c>
      <c r="D22" s="10" t="n">
        <v>0.06</v>
      </c>
      <c r="F22" s="7" t="inlineStr">
        <is>
          <t>млрд руб.</t>
        </is>
      </c>
      <c r="G22" s="7" t="inlineStr"/>
      <c r="H22" s="7" t="inlineStr">
        <is>
          <t>факт</t>
        </is>
      </c>
      <c r="I22" s="7" t="inlineStr">
        <is>
          <t>Банк России, обзор ОБДС за II кв. 2026 (опубл. 04.08.2026): https://cbr.ru/statistics/ib/review_2q_2026/</t>
        </is>
      </c>
    </row>
    <row r="23">
      <c r="A23" s="7" t="inlineStr">
        <is>
          <t>M12</t>
        </is>
      </c>
      <c r="B23" s="7" t="inlineStr">
        <is>
          <t>Физлица, электронные кошельки, II кв. 2026: операций</t>
        </is>
      </c>
      <c r="D23" s="10" t="n">
        <v>6</v>
      </c>
      <c r="F23" s="7" t="inlineStr">
        <is>
          <t>тыс.</t>
        </is>
      </c>
      <c r="G23" s="7" t="inlineStr"/>
      <c r="H23" s="7" t="inlineStr">
        <is>
          <t>факт</t>
        </is>
      </c>
      <c r="I23" s="7" t="inlineStr">
        <is>
          <t>Банк России, обзор ОБДС за II кв. 2026 (опубл. 04.08.2026): https://cbr.ru/statistics/ib/review_2q_2026/</t>
        </is>
      </c>
    </row>
    <row r="24">
      <c r="A24" s="7" t="inlineStr">
        <is>
          <t>M13</t>
        </is>
      </c>
      <c r="B24" s="7" t="inlineStr">
        <is>
          <t>Физлица, переводы без открытия счета, II кв. 2026: сумма</t>
        </is>
      </c>
      <c r="D24" s="10" t="n">
        <v>0.25</v>
      </c>
      <c r="F24" s="7" t="inlineStr">
        <is>
          <t>млрд руб.</t>
        </is>
      </c>
      <c r="G24" s="7" t="inlineStr"/>
      <c r="H24" s="7" t="inlineStr">
        <is>
          <t>факт</t>
        </is>
      </c>
      <c r="I24" s="7" t="inlineStr">
        <is>
          <t>Банк России, обзор ОБДС за II кв. 2026 (опубл. 04.08.2026): https://cbr.ru/statistics/ib/review_2q_2026/</t>
        </is>
      </c>
    </row>
    <row r="25">
      <c r="A25" s="7" t="inlineStr">
        <is>
          <t>M14</t>
        </is>
      </c>
      <c r="B25" s="7" t="inlineStr">
        <is>
          <t>Физлица, переводы без открытия счета, II кв. 2026: операций</t>
        </is>
      </c>
      <c r="D25" s="10" t="n">
        <v>1.76</v>
      </c>
      <c r="F25" s="7" t="inlineStr">
        <is>
          <t>тыс.</t>
        </is>
      </c>
      <c r="G25" s="7" t="inlineStr"/>
      <c r="H25" s="7" t="inlineStr">
        <is>
          <t>факт</t>
        </is>
      </c>
      <c r="I25" s="7" t="inlineStr">
        <is>
          <t>Банк России, обзор ОБДС за II кв. 2026 (опубл. 04.08.2026): https://cbr.ru/statistics/ib/review_2q_2026/</t>
        </is>
      </c>
    </row>
    <row r="26">
      <c r="A26" s="7" t="inlineStr">
        <is>
          <t>M15</t>
        </is>
      </c>
      <c r="B26" s="7" t="inlineStr">
        <is>
          <t>Физлица, переводы со счета, 2025 год: сумма (сверка)</t>
        </is>
      </c>
      <c r="D26" s="10" t="n">
        <v>10628.41</v>
      </c>
      <c r="F26" s="7" t="inlineStr">
        <is>
          <t>млн руб.</t>
        </is>
      </c>
      <c r="G26" s="7" t="inlineStr"/>
      <c r="H26" s="7" t="inlineStr">
        <is>
          <t>факт</t>
        </is>
      </c>
      <c r="I26" s="7" t="inlineStr">
        <is>
          <t>Банк России, обзор ОБДС за 2025 г.: https://cbr.ru/analytics/ib/operations_survey/2025/</t>
        </is>
      </c>
    </row>
    <row r="27">
      <c r="A27" s="7" t="inlineStr">
        <is>
          <t>M16</t>
        </is>
      </c>
      <c r="B27" s="7" t="inlineStr">
        <is>
          <t>Физлица, СБП, 2025 год: сумма (сверка)</t>
        </is>
      </c>
      <c r="D27" s="10" t="n">
        <v>9982.32</v>
      </c>
      <c r="F27" s="7" t="inlineStr">
        <is>
          <t>млн руб.</t>
        </is>
      </c>
      <c r="G27" s="7" t="inlineStr"/>
      <c r="H27" s="7" t="inlineStr">
        <is>
          <t>факт</t>
        </is>
      </c>
      <c r="I27" s="7" t="inlineStr">
        <is>
          <t>Банк России, обзор ОБДС за 2025 г.: https://cbr.ru/analytics/ib/operations_survey/2025/</t>
        </is>
      </c>
    </row>
    <row r="28">
      <c r="A28" s="7" t="inlineStr">
        <is>
          <t>M17</t>
        </is>
      </c>
      <c r="B28" s="7" t="inlineStr">
        <is>
          <t>Возвращено клиентам, переводы со счета, II кв. 2026</t>
        </is>
      </c>
      <c r="D28" s="11" t="n">
        <v>0.054</v>
      </c>
      <c r="F28" s="7" t="inlineStr">
        <is>
          <t>% объема</t>
        </is>
      </c>
      <c r="G28" s="7" t="inlineStr"/>
      <c r="H28" s="7" t="inlineStr">
        <is>
          <t>факт</t>
        </is>
      </c>
      <c r="I28" s="7" t="inlineStr">
        <is>
          <t>Банк России, II кв. 2026; сверка для A21</t>
        </is>
      </c>
    </row>
    <row r="29">
      <c r="A29" s="7" t="inlineStr">
        <is>
          <t>M18</t>
        </is>
      </c>
      <c r="B29" s="7" t="inlineStr">
        <is>
          <t>Возвращено клиентам, СБП, II кв. 2026</t>
        </is>
      </c>
      <c r="D29" s="11" t="n">
        <v>0.021</v>
      </c>
      <c r="F29" s="7" t="inlineStr">
        <is>
          <t>% объема</t>
        </is>
      </c>
      <c r="G29" s="7" t="inlineStr"/>
      <c r="H29" s="7" t="inlineStr">
        <is>
          <t>факт</t>
        </is>
      </c>
      <c r="I29" s="7" t="inlineStr">
        <is>
          <t>Банк России, II кв. 2026; сверка для A21</t>
        </is>
      </c>
    </row>
    <row r="30">
      <c r="A30" s="7" t="inlineStr">
        <is>
          <t>A3</t>
        </is>
      </c>
      <c r="B30" s="7" t="inlineStr">
        <is>
          <t>Годовая база ОБДС по рынку</t>
        </is>
      </c>
      <c r="D30" s="12">
        <f>($D$12+$D$14)*2/1000</f>
        <v/>
      </c>
      <c r="F30" s="7" t="inlineStr">
        <is>
          <t>млрд руб./год</t>
        </is>
      </c>
      <c r="G30" s="7" t="inlineStr"/>
      <c r="H30" s="7" t="inlineStr">
        <is>
          <t>расчет</t>
        </is>
      </c>
      <c r="I30" s="7" t="inlineStr">
        <is>
          <t>(I кв. + II кв.) × 2</t>
        </is>
      </c>
    </row>
    <row r="31">
      <c r="A31" s="7" t="inlineStr">
        <is>
          <t>A4</t>
        </is>
      </c>
      <c r="B31" s="7" t="inlineStr">
        <is>
          <t>Годовые потери физлиц рынка в фокусе (СБП + счета)</t>
        </is>
      </c>
      <c r="D31" s="12">
        <f>($D$16+$D$18)*4</f>
        <v/>
      </c>
      <c r="F31" s="7" t="inlineStr">
        <is>
          <t>млрд руб./год</t>
        </is>
      </c>
      <c r="G31" s="7" t="inlineStr"/>
      <c r="H31" s="7" t="inlineStr">
        <is>
          <t>расчет</t>
        </is>
      </c>
      <c r="I31" s="7" t="inlineStr">
        <is>
          <t>II кв. × 4 (поканальной разбивки за I кв. нет)</t>
        </is>
      </c>
    </row>
    <row r="32">
      <c r="A32" s="6" t="inlineStr">
        <is>
          <t>4.1 База потерь ВТБ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A5</t>
        </is>
      </c>
      <c r="B33" s="7" t="inlineStr">
        <is>
          <t>Доля ВТБ в потерях фокуса</t>
        </is>
      </c>
      <c r="D33" s="11" t="n">
        <v>0.1</v>
      </c>
      <c r="F33" s="7" t="inlineStr">
        <is>
          <t>%</t>
        </is>
      </c>
      <c r="G33" s="7" t="inlineStr">
        <is>
          <t>7-13%</t>
        </is>
      </c>
      <c r="H33" s="7" t="inlineStr">
        <is>
          <t>гипотеза</t>
        </is>
      </c>
      <c r="I33" s="7" t="inlineStr">
        <is>
          <t>Открытых данных о доле ВТБ в переводах физлиц/СБП не нашли (поиск 27.10); явное допущение с диапазоном</t>
        </is>
      </c>
    </row>
    <row r="34">
      <c r="A34" s="7" t="inlineStr">
        <is>
          <t>A6</t>
        </is>
      </c>
      <c r="B34" s="7" t="inlineStr">
        <is>
          <t>Потери клиентов ВТБ в фокусе (было)</t>
        </is>
      </c>
      <c r="D34" s="13">
        <f>$D$31*$D$33*1000</f>
        <v/>
      </c>
      <c r="F34" s="7" t="inlineStr">
        <is>
          <t>млн руб./год</t>
        </is>
      </c>
      <c r="G34" s="7" t="inlineStr"/>
      <c r="H34" s="7" t="inlineStr">
        <is>
          <t>расчет</t>
        </is>
      </c>
      <c r="I34" s="7" t="inlineStr">
        <is>
          <t>A4 × A5</t>
        </is>
      </c>
    </row>
    <row r="35">
      <c r="A35" s="6" t="inlineStr">
        <is>
          <t>4.2 Выявление мошенничества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7" t="inlineStr">
        <is>
          <t>A7</t>
        </is>
      </c>
      <c r="B36" s="7" t="inlineStr">
        <is>
          <t>Полнота выявления сейчас (по сумме)</t>
        </is>
      </c>
      <c r="D36" s="11" t="n">
        <v>0.8</v>
      </c>
      <c r="F36" s="7" t="inlineStr">
        <is>
          <t>%</t>
        </is>
      </c>
      <c r="G36" s="7" t="inlineStr"/>
      <c r="H36" s="7" t="inlineStr">
        <is>
          <t>гипотеза</t>
        </is>
      </c>
      <c r="I36" s="7" t="inlineStr">
        <is>
          <t>Внутренних данных ВТБ нет. Не путать с «предотвращенные / совершенные»: там есть ложные срабатывания</t>
        </is>
      </c>
    </row>
    <row r="37">
      <c r="A37" s="7" t="inlineStr">
        <is>
          <t>A8</t>
        </is>
      </c>
      <c r="B37" s="7" t="inlineStr">
        <is>
          <t>Полнота выявления после (по сумме)</t>
        </is>
      </c>
      <c r="C37" s="11" t="n">
        <v>0.82</v>
      </c>
      <c r="D37" s="11" t="n">
        <v>0.84</v>
      </c>
      <c r="E37" s="11" t="n">
        <v>0.86</v>
      </c>
      <c r="F37" s="7" t="inlineStr">
        <is>
          <t>%</t>
        </is>
      </c>
      <c r="G37" s="7" t="inlineStr"/>
      <c r="H37" s="7" t="inlineStr">
        <is>
          <t>гипотеза</t>
        </is>
      </c>
      <c r="I37" s="7" t="inlineStr">
        <is>
          <t>Сценарии П / Б / О</t>
        </is>
      </c>
    </row>
    <row r="38">
      <c r="A38" s="7" t="inlineStr">
        <is>
          <t>A9</t>
        </is>
      </c>
      <c r="B38" s="7" t="inlineStr">
        <is>
          <t>Сокращение потерь = (R_после − R_сейчас) / (1 − R_сейчас)</t>
        </is>
      </c>
      <c r="C38" s="14">
        <f>($C$37-$D$36)/(1-$D$36)</f>
        <v/>
      </c>
      <c r="D38" s="14">
        <f>($D$37-$D$36)/(1-$D$36)</f>
        <v/>
      </c>
      <c r="E38" s="14">
        <f>($E$37-$D$36)/(1-$D$36)</f>
        <v/>
      </c>
      <c r="F38" s="7" t="inlineStr">
        <is>
          <t>%</t>
        </is>
      </c>
      <c r="G38" s="7" t="inlineStr"/>
      <c r="H38" s="7" t="inlineStr">
        <is>
          <t>расчет</t>
        </is>
      </c>
      <c r="I38" s="7" t="inlineStr">
        <is>
          <t>По A7-A8</t>
        </is>
      </c>
    </row>
    <row r="39">
      <c r="A39" s="7" t="inlineStr">
        <is>
          <t>A9a</t>
        </is>
      </c>
      <c r="B39" s="7" t="inlineStr">
        <is>
          <t>Снижение числа попыток (эффект сдерживания)</t>
        </is>
      </c>
      <c r="C39" s="11" t="n">
        <v>0</v>
      </c>
      <c r="D39" s="11" t="n">
        <v>0</v>
      </c>
      <c r="E39" s="11" t="n">
        <v>0.03</v>
      </c>
      <c r="F39" s="7" t="inlineStr">
        <is>
          <t>%</t>
        </is>
      </c>
      <c r="G39" s="7" t="inlineStr">
        <is>
          <t>0-3%</t>
        </is>
      </c>
      <c r="H39" s="7" t="inlineStr">
        <is>
          <t>гипотеза</t>
        </is>
      </c>
      <c r="I39" s="7" t="inlineStr">
        <is>
          <t>В пессимисте и базе не учитываем; риск адаптации мошенников</t>
        </is>
      </c>
    </row>
    <row r="40">
      <c r="A40" s="6" t="inlineStr">
        <is>
          <t>4.3 Ложные срабатывания и клиентский опыт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7" t="inlineStr">
        <is>
          <t>A10a</t>
        </is>
      </c>
      <c r="B41" s="7" t="inlineStr">
        <is>
          <t>Доля активных пользователей «ВТБ Онлайн»</t>
        </is>
      </c>
      <c r="D41" s="11" t="n">
        <v>0.7</v>
      </c>
      <c r="F41" s="7" t="inlineStr">
        <is>
          <t>%</t>
        </is>
      </c>
      <c r="G41" s="7" t="inlineStr"/>
      <c r="H41" s="7" t="inlineStr">
        <is>
          <t>гипотеза</t>
        </is>
      </c>
      <c r="I41" s="7" t="inlineStr">
        <is>
          <t>Проверить по статистике платежей</t>
        </is>
      </c>
    </row>
    <row r="42">
      <c r="A42" s="7" t="inlineStr">
        <is>
          <t>A10b</t>
        </is>
      </c>
      <c r="B42" s="7" t="inlineStr">
        <is>
          <t>Переводов физлицам в месяц на активного пользователя</t>
        </is>
      </c>
      <c r="D42" s="10" t="n">
        <v>5</v>
      </c>
      <c r="F42" s="7" t="inlineStr">
        <is>
          <t>шт./мес.</t>
        </is>
      </c>
      <c r="G42" s="7" t="inlineStr"/>
      <c r="H42" s="7" t="inlineStr">
        <is>
          <t>гипотеза</t>
        </is>
      </c>
      <c r="I42" s="7" t="inlineStr">
        <is>
          <t>Проверить по статистике платежей</t>
        </is>
      </c>
    </row>
    <row r="43">
      <c r="A43" s="7" t="inlineStr">
        <is>
          <t>A10</t>
        </is>
      </c>
      <c r="B43" s="7" t="inlineStr">
        <is>
          <t>Законные переводы физлиц в фокусе у ВТБ</t>
        </is>
      </c>
      <c r="D43" s="13">
        <f>$D$8*$D$41*$D$42*12</f>
        <v/>
      </c>
      <c r="F43" s="7" t="inlineStr">
        <is>
          <t>млн/год</t>
        </is>
      </c>
      <c r="G43" s="7" t="inlineStr"/>
      <c r="H43" s="7" t="inlineStr">
        <is>
          <t>расчет</t>
        </is>
      </c>
      <c r="I43" s="7" t="inlineStr">
        <is>
          <t>A2 × A10a × A10b × 12</t>
        </is>
      </c>
    </row>
    <row r="44">
      <c r="A44" s="7" t="inlineStr">
        <is>
          <t>A11a</t>
        </is>
      </c>
      <c r="B44" s="7" t="inlineStr">
        <is>
          <t>Доля законных переводов с сигналом: сейчас</t>
        </is>
      </c>
      <c r="D44" s="11" t="n">
        <v>0.015</v>
      </c>
      <c r="F44" s="7" t="inlineStr">
        <is>
          <t>%</t>
        </is>
      </c>
      <c r="G44" s="7" t="inlineStr"/>
      <c r="H44" s="7" t="inlineStr">
        <is>
          <t>гипотеза</t>
        </is>
      </c>
      <c r="I44" s="7" t="inlineStr"/>
    </row>
    <row r="45">
      <c r="A45" s="7" t="inlineStr">
        <is>
          <t>A11b</t>
        </is>
      </c>
      <c r="B45" s="7" t="inlineStr">
        <is>
          <t>Доля законных переводов с сигналом: после</t>
        </is>
      </c>
      <c r="D45" s="11" t="n">
        <v>0.018</v>
      </c>
      <c r="F45" s="7" t="inlineStr">
        <is>
          <t>%</t>
        </is>
      </c>
      <c r="G45" s="7" t="inlineStr"/>
      <c r="H45" s="7" t="inlineStr">
        <is>
          <t>гипотеза</t>
        </is>
      </c>
      <c r="I45" s="7" t="inlineStr">
        <is>
          <t>Сигналов чуть больше: больше точечных предупреждений</t>
        </is>
      </c>
    </row>
    <row r="46">
      <c r="A46" s="7" t="inlineStr">
        <is>
          <t>A12a</t>
        </is>
      </c>
      <c r="B46" s="7" t="inlineStr">
        <is>
          <t>Доля сигналов, ставших ошибочным ограничением: сейчас</t>
        </is>
      </c>
      <c r="D46" s="11" t="n">
        <v>0.35</v>
      </c>
      <c r="F46" s="7" t="inlineStr">
        <is>
          <t>%</t>
        </is>
      </c>
      <c r="G46" s="7" t="inlineStr"/>
      <c r="H46" s="7" t="inlineStr">
        <is>
          <t>гипотеза</t>
        </is>
      </c>
      <c r="I46" s="7" t="inlineStr">
        <is>
          <t>Ограничение = пауза, отказ, блок. Сигнал ≠ ограничение</t>
        </is>
      </c>
    </row>
    <row r="47">
      <c r="A47" s="7" t="inlineStr">
        <is>
          <t>A12b</t>
        </is>
      </c>
      <c r="B47" s="7" t="inlineStr">
        <is>
          <t>Доля сигналов, ставших ошибочным ограничением: после</t>
        </is>
      </c>
      <c r="C47" s="11" t="n">
        <v>0.25</v>
      </c>
      <c r="D47" s="11" t="n">
        <v>0.12</v>
      </c>
      <c r="E47" s="11" t="n">
        <v>0.08</v>
      </c>
      <c r="F47" s="7" t="inlineStr">
        <is>
          <t>%</t>
        </is>
      </c>
      <c r="G47" s="7" t="inlineStr"/>
      <c r="H47" s="7" t="inlineStr">
        <is>
          <t>гипотеза</t>
        </is>
      </c>
      <c r="I47" s="7" t="inlineStr">
        <is>
          <t>Суть решения: часть сигналов гасится предупреждением и быстрым подтверждением</t>
        </is>
      </c>
    </row>
    <row r="48">
      <c r="A48" s="7" t="inlineStr">
        <is>
          <t>A13a</t>
        </is>
      </c>
      <c r="B48" s="7" t="inlineStr">
        <is>
          <t>Ошибочные ограничения, доля законных переводов: сейчас</t>
        </is>
      </c>
      <c r="D48" s="15">
        <f>$D$44*$D$46</f>
        <v/>
      </c>
      <c r="F48" s="7" t="inlineStr">
        <is>
          <t>%</t>
        </is>
      </c>
      <c r="G48" s="7" t="inlineStr"/>
      <c r="H48" s="7" t="inlineStr">
        <is>
          <t>расчет</t>
        </is>
      </c>
      <c r="I48" s="7" t="inlineStr">
        <is>
          <t>A11a × A12a</t>
        </is>
      </c>
    </row>
    <row r="49">
      <c r="A49" s="7" t="inlineStr">
        <is>
          <t>A13b</t>
        </is>
      </c>
      <c r="B49" s="7" t="inlineStr">
        <is>
          <t>Ошибочные ограничения, доля законных переводов: после</t>
        </is>
      </c>
      <c r="C49" s="15">
        <f>$D$45*$C$47</f>
        <v/>
      </c>
      <c r="D49" s="15">
        <f>$D$45*$D$47</f>
        <v/>
      </c>
      <c r="E49" s="15">
        <f>$D$45*$E$47</f>
        <v/>
      </c>
      <c r="F49" s="7" t="inlineStr">
        <is>
          <t>%</t>
        </is>
      </c>
      <c r="G49" s="7" t="inlineStr"/>
      <c r="H49" s="7" t="inlineStr">
        <is>
          <t>расчет</t>
        </is>
      </c>
      <c r="I49" s="7" t="inlineStr">
        <is>
          <t>A11b × A12b</t>
        </is>
      </c>
    </row>
    <row r="50">
      <c r="A50" s="7" t="inlineStr">
        <is>
          <t>A14a</t>
        </is>
      </c>
      <c r="B50" s="7" t="inlineStr">
        <is>
          <t>Доля ограничений с обращением в поддержку</t>
        </is>
      </c>
      <c r="D50" s="11" t="n">
        <v>0.2</v>
      </c>
      <c r="F50" s="7" t="inlineStr">
        <is>
          <t>%</t>
        </is>
      </c>
      <c r="G50" s="7" t="inlineStr"/>
      <c r="H50" s="7" t="inlineStr">
        <is>
          <t>гипотеза</t>
        </is>
      </c>
      <c r="I50" s="7" t="inlineStr"/>
    </row>
    <row r="51">
      <c r="A51" s="7" t="inlineStr">
        <is>
          <t>A14b</t>
        </is>
      </c>
      <c r="B51" s="7" t="inlineStr">
        <is>
          <t>Длительность обращения</t>
        </is>
      </c>
      <c r="D51" s="10" t="n">
        <v>5</v>
      </c>
      <c r="F51" s="7" t="inlineStr">
        <is>
          <t>мин</t>
        </is>
      </c>
      <c r="G51" s="7" t="inlineStr"/>
      <c r="H51" s="7" t="inlineStr">
        <is>
          <t>гипотеза</t>
        </is>
      </c>
      <c r="I51" s="7" t="inlineStr"/>
    </row>
    <row r="52">
      <c r="A52" s="7" t="inlineStr">
        <is>
          <t>A14c</t>
        </is>
      </c>
      <c r="B52" s="7" t="inlineStr">
        <is>
          <t>Стоимость часа сотрудника контакт-центра</t>
        </is>
      </c>
      <c r="D52" s="9" t="n">
        <v>1800</v>
      </c>
      <c r="F52" s="7" t="inlineStr">
        <is>
          <t>руб./час</t>
        </is>
      </c>
      <c r="G52" s="7" t="inlineStr"/>
      <c r="H52" s="7" t="inlineStr">
        <is>
          <t>гипотеза</t>
        </is>
      </c>
      <c r="I52" s="7" t="inlineStr">
        <is>
          <t>С налогами и накладными. Ориентиры рынка ниже: аутсорс 40-60 руб./звонок (workspace.ru, 2025), оператор ≈1 млн руб./год в регионе (t-j.ru, 05.2026) ≈ 530-800 руб./час. Обсудить</t>
        </is>
      </c>
    </row>
    <row r="53">
      <c r="A53" s="7" t="inlineStr">
        <is>
          <t>A14</t>
        </is>
      </c>
      <c r="B53" s="7" t="inlineStr">
        <is>
          <t>Стоимость одного обращения</t>
        </is>
      </c>
      <c r="D53" s="16">
        <f>$D$51/60*$D$52</f>
        <v/>
      </c>
      <c r="F53" s="7" t="inlineStr">
        <is>
          <t>руб.</t>
        </is>
      </c>
      <c r="G53" s="7" t="inlineStr"/>
      <c r="H53" s="7" t="inlineStr">
        <is>
          <t>расчет</t>
        </is>
      </c>
      <c r="I53" s="7" t="inlineStr">
        <is>
          <t>A14b / 60 × A14c</t>
        </is>
      </c>
    </row>
    <row r="54">
      <c r="A54" s="7" t="inlineStr">
        <is>
          <t>A15a</t>
        </is>
      </c>
      <c r="B54" s="7" t="inlineStr">
        <is>
          <t>Доля ограничений с разбором специалистом</t>
        </is>
      </c>
      <c r="D54" s="11" t="n">
        <v>0.05</v>
      </c>
      <c r="F54" s="7" t="inlineStr">
        <is>
          <t>%</t>
        </is>
      </c>
      <c r="G54" s="7" t="inlineStr"/>
      <c r="H54" s="7" t="inlineStr">
        <is>
          <t>гипотеза</t>
        </is>
      </c>
      <c r="I54" s="7" t="inlineStr"/>
    </row>
    <row r="55">
      <c r="A55" s="7" t="inlineStr">
        <is>
          <t>A15b</t>
        </is>
      </c>
      <c r="B55" s="7" t="inlineStr">
        <is>
          <t>Длительность разбора</t>
        </is>
      </c>
      <c r="D55" s="10" t="n">
        <v>10</v>
      </c>
      <c r="F55" s="7" t="inlineStr">
        <is>
          <t>мин</t>
        </is>
      </c>
      <c r="G55" s="7" t="inlineStr"/>
      <c r="H55" s="7" t="inlineStr">
        <is>
          <t>гипотеза</t>
        </is>
      </c>
      <c r="I55" s="7" t="inlineStr"/>
    </row>
    <row r="56">
      <c r="A56" s="7" t="inlineStr">
        <is>
          <t>A15c</t>
        </is>
      </c>
      <c r="B56" s="7" t="inlineStr">
        <is>
          <t>Стоимость часа специалиста</t>
        </is>
      </c>
      <c r="D56" s="9" t="n">
        <v>1800</v>
      </c>
      <c r="F56" s="7" t="inlineStr">
        <is>
          <t>руб./час</t>
        </is>
      </c>
      <c r="G56" s="7" t="inlineStr"/>
      <c r="H56" s="7" t="inlineStr">
        <is>
          <t>гипотеза</t>
        </is>
      </c>
      <c r="I56" s="7" t="inlineStr"/>
    </row>
    <row r="57">
      <c r="A57" s="7" t="inlineStr">
        <is>
          <t>A15</t>
        </is>
      </c>
      <c r="B57" s="7" t="inlineStr">
        <is>
          <t>Стоимость одного разбора</t>
        </is>
      </c>
      <c r="D57" s="16">
        <f>$D$55/60*$D$56</f>
        <v/>
      </c>
      <c r="F57" s="7" t="inlineStr">
        <is>
          <t>руб.</t>
        </is>
      </c>
      <c r="G57" s="7" t="inlineStr"/>
      <c r="H57" s="7" t="inlineStr">
        <is>
          <t>расчет</t>
        </is>
      </c>
      <c r="I57" s="7" t="inlineStr">
        <is>
          <t>A15b / 60 × A15c</t>
        </is>
      </c>
    </row>
    <row r="58">
      <c r="A58" s="7" t="inlineStr">
        <is>
          <t>A16a</t>
        </is>
      </c>
      <c r="B58" s="7" t="inlineStr">
        <is>
          <t>Недополученный доход на одно ограничение (комиссии)</t>
        </is>
      </c>
      <c r="D58" s="9" t="n">
        <v>0</v>
      </c>
      <c r="F58" s="7" t="inlineStr">
        <is>
          <t>руб.</t>
        </is>
      </c>
      <c r="G58" s="7" t="inlineStr"/>
      <c r="H58" s="7" t="inlineStr">
        <is>
          <t>гипотеза</t>
        </is>
      </c>
      <c r="I58" s="7" t="inlineStr">
        <is>
          <t>Переводы физлиц в фокусе в основном бесплатны; потерю дохода учитываем через отток (A18-A19)</t>
        </is>
      </c>
    </row>
    <row r="59">
      <c r="A59" s="7" t="inlineStr">
        <is>
          <t>A16</t>
        </is>
      </c>
      <c r="B59" s="7" t="inlineStr">
        <is>
          <t>Прямая стоимость одного ошибочного ограничения</t>
        </is>
      </c>
      <c r="D59" s="12">
        <f>$D$50*$D$53+$D$54*$D$57+$D$58</f>
        <v/>
      </c>
      <c r="F59" s="7" t="inlineStr">
        <is>
          <t>руб.</t>
        </is>
      </c>
      <c r="G59" s="7" t="inlineStr"/>
      <c r="H59" s="7" t="inlineStr">
        <is>
          <t>расчет</t>
        </is>
      </c>
      <c r="I59" s="7" t="inlineStr">
        <is>
          <t>A14a × A14 + A15a × A15 + A16a</t>
        </is>
      </c>
    </row>
    <row r="60">
      <c r="A60" s="7" t="inlineStr">
        <is>
          <t>A17</t>
        </is>
      </c>
      <c r="B60" s="7" t="inlineStr">
        <is>
          <t>Ошибочных ограничений на одного затронутого клиента</t>
        </is>
      </c>
      <c r="D60" s="10" t="n">
        <v>3</v>
      </c>
      <c r="F60" s="7" t="inlineStr">
        <is>
          <t>шт./год</t>
        </is>
      </c>
      <c r="G60" s="7" t="inlineStr"/>
      <c r="H60" s="7" t="inlineStr">
        <is>
          <t>гипотеза</t>
        </is>
      </c>
      <c r="I60" s="7" t="inlineStr"/>
    </row>
    <row r="61">
      <c r="A61" s="7" t="inlineStr">
        <is>
          <t>A18</t>
        </is>
      </c>
      <c r="B61" s="7" t="inlineStr">
        <is>
          <t>Дополнительный отток после ошибочного ограничения</t>
        </is>
      </c>
      <c r="D61" s="11" t="n">
        <v>0.015</v>
      </c>
      <c r="F61" s="7" t="inlineStr">
        <is>
          <t>п.п.</t>
        </is>
      </c>
      <c r="G61" s="7" t="inlineStr">
        <is>
          <t>0,5-3 п.п.</t>
        </is>
      </c>
      <c r="H61" s="7" t="inlineStr">
        <is>
          <t>гипотеза</t>
        </is>
      </c>
      <c r="I61" s="7" t="inlineStr">
        <is>
          <t>Ориентир: Javelin (США, 2015), после ложного отказа 39% держателей перестали пользоваться картой; 1,5 п.п. консервативно</t>
        </is>
      </c>
    </row>
    <row r="62">
      <c r="A62" s="7" t="inlineStr">
        <is>
          <t>A19</t>
        </is>
      </c>
      <c r="B62" s="7" t="inlineStr">
        <is>
          <t>Годовой доход на клиента</t>
        </is>
      </c>
      <c r="D62" s="9" t="n">
        <v>6000</v>
      </c>
      <c r="F62" s="7" t="inlineStr">
        <is>
          <t>руб./год</t>
        </is>
      </c>
      <c r="G62" s="7" t="inlineStr">
        <is>
          <t>4 000-9 000</t>
        </is>
      </c>
      <c r="H62" s="7" t="inlineStr">
        <is>
          <t>гипотеза</t>
        </is>
      </c>
      <c r="I62" s="7" t="inlineStr"/>
    </row>
    <row r="63">
      <c r="A63" s="7" t="inlineStr">
        <is>
          <t>A20</t>
        </is>
      </c>
      <c r="B63" s="7" t="inlineStr">
        <is>
          <t>Разница NPS: затронутые ограничением против остальных</t>
        </is>
      </c>
      <c r="D63" s="10" t="n">
        <v>-25</v>
      </c>
      <c r="F63" s="7" t="inlineStr">
        <is>
          <t>п.</t>
        </is>
      </c>
      <c r="G63" s="7" t="inlineStr">
        <is>
          <t>−15…−35</t>
        </is>
      </c>
      <c r="H63" s="7" t="inlineStr">
        <is>
          <t>гипотеза</t>
        </is>
      </c>
      <c r="I63" s="7" t="inlineStr"/>
    </row>
    <row r="64">
      <c r="A64" s="6" t="inlineStr">
        <is>
          <t>4.4 Экономика банка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7" t="inlineStr">
        <is>
          <t>A21</t>
        </is>
      </c>
      <c r="B65" s="7" t="inlineStr">
        <is>
          <t>Доля сохраненных средств клиентов → избежанный расход банка</t>
        </is>
      </c>
      <c r="D65" s="11" t="n">
        <v>0.15</v>
      </c>
      <c r="F65" s="7" t="inlineStr">
        <is>
          <t>%</t>
        </is>
      </c>
      <c r="G65" s="7" t="inlineStr">
        <is>
          <t>5-20%</t>
        </is>
      </c>
      <c r="H65" s="7" t="inlineStr">
        <is>
          <t>гипотеза</t>
        </is>
      </c>
      <c r="I65" s="7" t="inlineStr">
        <is>
          <t>Сохраненные средства = KPI, не доход банка. Сверка: возврат клиентам в фокусе ≈ 3,6% (см. «База»); рынок 2025: 5,9%; возмещения банками по ч. 3.13 ст. 8 161-ФЗ за 2025: 3,16 млн руб. 15% выше наблюдаемых возвратов: обсудить с аналитиком</t>
        </is>
      </c>
    </row>
    <row r="66">
      <c r="A66" s="7" t="inlineStr">
        <is>
          <t>A22</t>
        </is>
      </c>
      <c r="B66" s="7" t="inlineStr">
        <is>
          <t>Стоимость FTE-месяца с налогами и накладными</t>
        </is>
      </c>
      <c r="D66" s="10" t="n">
        <v>0.4</v>
      </c>
      <c r="F66" s="7" t="inlineStr">
        <is>
          <t>млн руб.</t>
        </is>
      </c>
      <c r="G66" s="7" t="inlineStr"/>
      <c r="H66" s="7" t="inlineStr">
        <is>
          <t>гипотеза</t>
        </is>
      </c>
      <c r="I66" s="7" t="inlineStr">
        <is>
          <t>Ориентир: Хабр Карьера, I п/г 2026: медиана Data Scientist 235 тыс., тимлид 448 тыс. руб./мес.</t>
        </is>
      </c>
    </row>
    <row r="67">
      <c r="A67" s="7" t="inlineStr">
        <is>
          <t>A23</t>
        </is>
      </c>
      <c r="B67" s="7" t="inlineStr">
        <is>
          <t>Ставка дисконтирования (годовая) для NPV</t>
        </is>
      </c>
      <c r="D67" s="11" t="n">
        <v>0.18</v>
      </c>
      <c r="F67" s="7" t="inlineStr">
        <is>
          <t>%</t>
        </is>
      </c>
      <c r="G67" s="7" t="inlineStr"/>
      <c r="H67" s="7" t="inlineStr">
        <is>
          <t>гипотеза</t>
        </is>
      </c>
      <c r="I67" s="7" t="inlineStr">
        <is>
          <t>Справочно; заменить на ставку, согласованную командой</t>
        </is>
      </c>
    </row>
    <row r="68">
      <c r="A68" s="6" t="inlineStr">
        <is>
          <t>6. Затраты и сроки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7" t="inlineStr">
        <is>
          <t>C1</t>
        </is>
      </c>
      <c r="B69" s="7" t="inlineStr">
        <is>
          <t>Команда проекта</t>
        </is>
      </c>
      <c r="D69" s="9" t="n">
        <v>12</v>
      </c>
      <c r="F69" s="7" t="inlineStr">
        <is>
          <t>FTE</t>
        </is>
      </c>
      <c r="G69" s="7" t="inlineStr"/>
      <c r="H69" s="7" t="inlineStr">
        <is>
          <t>гипотеза</t>
        </is>
      </c>
      <c r="I69" s="7" t="inlineStr"/>
    </row>
    <row r="70">
      <c r="A70" s="7" t="inlineStr">
        <is>
          <t>C2</t>
        </is>
      </c>
      <c r="B70" s="7" t="inlineStr">
        <is>
          <t>Длительность проекта</t>
        </is>
      </c>
      <c r="D70" s="9" t="n">
        <v>6</v>
      </c>
      <c r="F70" s="7" t="inlineStr">
        <is>
          <t>мес.</t>
        </is>
      </c>
      <c r="G70" s="7" t="inlineStr"/>
      <c r="H70" s="7" t="inlineStr">
        <is>
          <t>решение</t>
        </is>
      </c>
      <c r="I70" s="7" t="inlineStr">
        <is>
          <t>Дорожная карта 00, разд. 6</t>
        </is>
      </c>
    </row>
    <row r="71">
      <c r="A71" s="7" t="inlineStr">
        <is>
          <t>C3</t>
        </is>
      </c>
      <c r="B71" s="7" t="inlineStr">
        <is>
          <t>Инфраструктура, данные, ПО</t>
        </is>
      </c>
      <c r="D71" s="8" t="n">
        <v>7</v>
      </c>
      <c r="F71" s="7" t="inlineStr">
        <is>
          <t>млн руб.</t>
        </is>
      </c>
      <c r="G71" s="7" t="inlineStr"/>
      <c r="H71" s="7" t="inlineStr">
        <is>
          <t>гипотеза</t>
        </is>
      </c>
      <c r="I71" s="7" t="inlineStr"/>
    </row>
    <row r="72">
      <c r="A72" s="7" t="inlineStr">
        <is>
          <t>C4</t>
        </is>
      </c>
      <c r="B72" s="7" t="inlineStr">
        <is>
          <t>Контакт-центр: обучение, скрипты, коммуникации</t>
        </is>
      </c>
      <c r="D72" s="8" t="n">
        <v>5</v>
      </c>
      <c r="F72" s="7" t="inlineStr">
        <is>
          <t>млн руб.</t>
        </is>
      </c>
      <c r="G72" s="7" t="inlineStr"/>
      <c r="H72" s="7" t="inlineStr">
        <is>
          <t>гипотеза</t>
        </is>
      </c>
      <c r="I72" s="7" t="inlineStr"/>
    </row>
    <row r="73">
      <c r="A73" s="7" t="inlineStr">
        <is>
          <t>C5</t>
        </is>
      </c>
      <c r="B73" s="7" t="inlineStr">
        <is>
          <t>Внешний аудит, комплаенс, ИБ</t>
        </is>
      </c>
      <c r="D73" s="8" t="n">
        <v>2.5</v>
      </c>
      <c r="F73" s="7" t="inlineStr">
        <is>
          <t>млн руб.</t>
        </is>
      </c>
      <c r="G73" s="7" t="inlineStr"/>
      <c r="H73" s="7" t="inlineStr">
        <is>
          <t>гипотеза</t>
        </is>
      </c>
      <c r="I73" s="7" t="inlineStr"/>
    </row>
    <row r="74">
      <c r="A74" s="7" t="inlineStr">
        <is>
          <t>C6</t>
        </is>
      </c>
      <c r="B74" s="7" t="inlineStr">
        <is>
          <t>Резерв</t>
        </is>
      </c>
      <c r="D74" s="11" t="n">
        <v>0.1</v>
      </c>
      <c r="F74" s="7" t="inlineStr">
        <is>
          <t>% от статей</t>
        </is>
      </c>
      <c r="G74" s="7" t="inlineStr"/>
      <c r="H74" s="7" t="inlineStr">
        <is>
          <t>решение</t>
        </is>
      </c>
      <c r="I74" s="7" t="inlineStr"/>
    </row>
    <row r="75">
      <c r="A75" s="7" t="inlineStr">
        <is>
          <t>O1</t>
        </is>
      </c>
      <c r="B75" s="7" t="inlineStr">
        <is>
          <t>Команда эксплуатации после запуска</t>
        </is>
      </c>
      <c r="D75" s="9" t="n">
        <v>4</v>
      </c>
      <c r="F75" s="7" t="inlineStr">
        <is>
          <t>FTE</t>
        </is>
      </c>
      <c r="G75" s="7" t="inlineStr"/>
      <c r="H75" s="7" t="inlineStr">
        <is>
          <t>гипотеза</t>
        </is>
      </c>
      <c r="I75" s="7" t="inlineStr"/>
    </row>
    <row r="76">
      <c r="A76" s="7" t="inlineStr">
        <is>
          <t>O2</t>
        </is>
      </c>
      <c r="B76" s="7" t="inlineStr">
        <is>
          <t>Инфраструктура в эксплуатации</t>
        </is>
      </c>
      <c r="D76" s="8" t="n">
        <v>5</v>
      </c>
      <c r="F76" s="7" t="inlineStr">
        <is>
          <t>млн руб./год</t>
        </is>
      </c>
      <c r="G76" s="7" t="inlineStr"/>
      <c r="H76" s="7" t="inlineStr">
        <is>
          <t>гипотеза</t>
        </is>
      </c>
      <c r="I76" s="7" t="inlineStr"/>
    </row>
    <row r="77">
      <c r="A77" s="7" t="inlineStr">
        <is>
          <t>T1</t>
        </is>
      </c>
      <c r="B77" s="7" t="inlineStr">
        <is>
          <t>Месяц начала пилота</t>
        </is>
      </c>
      <c r="D77" s="9" t="n">
        <v>5</v>
      </c>
      <c r="F77" s="7" t="inlineStr">
        <is>
          <t>мес.</t>
        </is>
      </c>
      <c r="G77" s="7" t="inlineStr"/>
      <c r="H77" s="7" t="inlineStr">
        <is>
          <t>решение</t>
        </is>
      </c>
      <c r="I77" s="7" t="inlineStr">
        <is>
          <t>Пилот на части трафика (A/B)</t>
        </is>
      </c>
    </row>
    <row r="78">
      <c r="A78" s="7" t="inlineStr">
        <is>
          <t>T2</t>
        </is>
      </c>
      <c r="B78" s="7" t="inlineStr">
        <is>
          <t>Доля трафика в пилоте</t>
        </is>
      </c>
      <c r="D78" s="11" t="n">
        <v>0.2</v>
      </c>
      <c r="F78" s="7" t="inlineStr">
        <is>
          <t>%</t>
        </is>
      </c>
      <c r="G78" s="7" t="inlineStr"/>
      <c r="H78" s="7" t="inlineStr">
        <is>
          <t>решение</t>
        </is>
      </c>
      <c r="I78" s="7" t="inlineStr"/>
    </row>
    <row r="79">
      <c r="A79" s="7" t="inlineStr">
        <is>
          <t>T3</t>
        </is>
      </c>
      <c r="B79" s="7" t="inlineStr">
        <is>
          <t>Месяц выхода на полный эффект</t>
        </is>
      </c>
      <c r="D79" s="9" t="n">
        <v>7</v>
      </c>
      <c r="F79" s="7" t="inlineStr">
        <is>
          <t>мес.</t>
        </is>
      </c>
      <c r="G79" s="7" t="inlineStr"/>
      <c r="H79" s="7" t="inlineStr">
        <is>
          <t>решение</t>
        </is>
      </c>
      <c r="I79" s="7" t="inlineStr">
        <is>
          <t>С 7-го месяца полный эффект</t>
        </is>
      </c>
    </row>
    <row r="80">
      <c r="A80" s="6" t="inlineStr">
        <is>
          <t>Оценка вариантов для слайда 3 (стоимость и срок В3 считаются на листе «Затраты»)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7" t="inlineStr">
        <is>
          <t>V1</t>
        </is>
      </c>
      <c r="B81" s="7" t="inlineStr">
        <is>
          <t>В1 Правила + усиленная аутентификация: стоимость внедрения</t>
        </is>
      </c>
      <c r="D81" s="8" t="n">
        <v>15</v>
      </c>
      <c r="F81" s="7" t="inlineStr">
        <is>
          <t>млн руб.</t>
        </is>
      </c>
      <c r="G81" s="7" t="inlineStr"/>
      <c r="H81" s="7" t="inlineStr">
        <is>
          <t>гипотеза</t>
        </is>
      </c>
      <c r="I81" s="7" t="inlineStr">
        <is>
          <t>Согласовано с оценкой «стоимость = 5» в таблице факторов</t>
        </is>
      </c>
    </row>
    <row r="82">
      <c r="A82" s="7" t="inlineStr">
        <is>
          <t>V1t</t>
        </is>
      </c>
      <c r="B82" s="7" t="inlineStr">
        <is>
          <t>В1: срок внедрения</t>
        </is>
      </c>
      <c r="D82" s="9" t="n">
        <v>3</v>
      </c>
      <c r="F82" s="7" t="inlineStr">
        <is>
          <t>мес.</t>
        </is>
      </c>
      <c r="G82" s="7" t="inlineStr"/>
      <c r="H82" s="7" t="inlineStr">
        <is>
          <t>гипотеза</t>
        </is>
      </c>
      <c r="I82" s="7" t="inlineStr">
        <is>
          <t>Оценка «срок = 5»</t>
        </is>
      </c>
    </row>
    <row r="83">
      <c r="A83" s="7" t="inlineStr">
        <is>
          <t>V2</t>
        </is>
      </c>
      <c r="B83" s="7" t="inlineStr">
        <is>
          <t>В2 ML-скоринг + сегментация: стоимость внедрения</t>
        </is>
      </c>
      <c r="D83" s="8" t="n">
        <v>40</v>
      </c>
      <c r="F83" s="7" t="inlineStr">
        <is>
          <t>млн руб.</t>
        </is>
      </c>
      <c r="G83" s="7" t="inlineStr"/>
      <c r="H83" s="7" t="inlineStr">
        <is>
          <t>гипотеза</t>
        </is>
      </c>
      <c r="I83" s="7" t="inlineStr">
        <is>
          <t>Оценка «стоимость = 3»</t>
        </is>
      </c>
    </row>
    <row r="84">
      <c r="A84" s="7" t="inlineStr">
        <is>
          <t>V2t</t>
        </is>
      </c>
      <c r="B84" s="7" t="inlineStr">
        <is>
          <t>В2: срок внедрения</t>
        </is>
      </c>
      <c r="D84" s="9" t="n">
        <v>6</v>
      </c>
      <c r="F84" s="7" t="inlineStr">
        <is>
          <t>мес.</t>
        </is>
      </c>
      <c r="G84" s="7" t="inlineStr"/>
      <c r="H84" s="7" t="inlineStr">
        <is>
          <t>гипотеза</t>
        </is>
      </c>
      <c r="I84" s="7" t="inlineStr">
        <is>
          <t>Оценка «срок = 3»</t>
        </is>
      </c>
    </row>
    <row r="85">
      <c r="A85" s="7" t="inlineStr">
        <is>
          <t>V4</t>
        </is>
      </c>
      <c r="B85" s="7" t="inlineStr">
        <is>
          <t>В4 Внешние участники: стоимость внедрения (доля ВТБ)</t>
        </is>
      </c>
      <c r="D85" s="8" t="n">
        <v>30</v>
      </c>
      <c r="F85" s="7" t="inlineStr">
        <is>
          <t>млн руб.</t>
        </is>
      </c>
      <c r="G85" s="7" t="inlineStr"/>
      <c r="H85" s="7" t="inlineStr">
        <is>
          <t>гипотеза</t>
        </is>
      </c>
      <c r="I85" s="7" t="inlineStr">
        <is>
          <t>Оценка «стоимость = 4»; без затрат других банков</t>
        </is>
      </c>
    </row>
    <row r="86">
      <c r="A86" s="7" t="inlineStr">
        <is>
          <t>V4t</t>
        </is>
      </c>
      <c r="B86" s="7" t="inlineStr">
        <is>
          <t>В4: срок внедрения</t>
        </is>
      </c>
      <c r="D86" s="9" t="n">
        <v>12</v>
      </c>
      <c r="F86" s="7" t="inlineStr">
        <is>
          <t>мес.</t>
        </is>
      </c>
      <c r="G86" s="7" t="inlineStr"/>
      <c r="H86" s="7" t="inlineStr">
        <is>
          <t>гипотеза</t>
        </is>
      </c>
      <c r="I86" s="7" t="inlineStr">
        <is>
          <t>Оценка «срок = 2»: нужен обмен данными с другими банками</t>
        </is>
      </c>
    </row>
    <row r="87">
      <c r="A87" s="6" t="inlineStr">
        <is>
          <t>Анализ чувствительности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7" t="inlineStr">
        <is>
          <t>S1</t>
        </is>
      </c>
      <c r="B88" s="7" t="inlineStr">
        <is>
          <t>Шаг изменения допущения</t>
        </is>
      </c>
      <c r="D88" s="11" t="n">
        <v>0.3</v>
      </c>
      <c r="F88" s="7" t="inlineStr">
        <is>
          <t>±%</t>
        </is>
      </c>
      <c r="G88" s="7" t="inlineStr"/>
      <c r="H88" s="7" t="inlineStr">
        <is>
          <t>решение</t>
        </is>
      </c>
      <c r="I88" s="7" t="inlineStr">
        <is>
          <t>Инструкция: −30% / +30%</t>
        </is>
      </c>
    </row>
    <row r="90">
      <c r="A90" s="6" t="inlineStr">
        <is>
          <t>Распределение затрат на внедрение по месяцам (доли, сумма по строке = 100%)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5" t="inlineStr"/>
      <c r="B91" s="5" t="inlineStr">
        <is>
          <t>Статья</t>
        </is>
      </c>
      <c r="C91" s="5" t="inlineStr">
        <is>
          <t>М1</t>
        </is>
      </c>
      <c r="D91" s="5" t="inlineStr">
        <is>
          <t>М2</t>
        </is>
      </c>
      <c r="E91" s="5" t="inlineStr">
        <is>
          <t>М3</t>
        </is>
      </c>
      <c r="F91" s="5" t="inlineStr">
        <is>
          <t>М4</t>
        </is>
      </c>
      <c r="G91" s="5" t="inlineStr">
        <is>
          <t>М5</t>
        </is>
      </c>
      <c r="H91" s="5" t="inlineStr">
        <is>
          <t>М6</t>
        </is>
      </c>
      <c r="I91" s="5" t="inlineStr">
        <is>
          <t>Сумма (проверка)</t>
        </is>
      </c>
    </row>
    <row r="92">
      <c r="B92" s="17" t="inlineStr">
        <is>
          <t>Команда проекта</t>
        </is>
      </c>
      <c r="C92" s="11" t="n">
        <v>0.1666666666666667</v>
      </c>
      <c r="D92" s="11" t="n">
        <v>0.1666666666666667</v>
      </c>
      <c r="E92" s="11" t="n">
        <v>0.1666666666666667</v>
      </c>
      <c r="F92" s="11" t="n">
        <v>0.1666666666666667</v>
      </c>
      <c r="G92" s="11" t="n">
        <v>0.1666666666666667</v>
      </c>
      <c r="H92" s="11" t="n">
        <v>0.1666666666666667</v>
      </c>
      <c r="I92" s="14">
        <f>SUM(C92:H92)</f>
        <v/>
      </c>
    </row>
    <row r="93">
      <c r="B93" s="17" t="inlineStr">
        <is>
          <t>Инфраструктура, данные, ПО</t>
        </is>
      </c>
      <c r="C93" s="11" t="n">
        <v>0.1</v>
      </c>
      <c r="D93" s="11" t="n">
        <v>0.3</v>
      </c>
      <c r="E93" s="11" t="n">
        <v>0.3</v>
      </c>
      <c r="F93" s="11" t="n">
        <v>0.1</v>
      </c>
      <c r="G93" s="11" t="n">
        <v>0.1</v>
      </c>
      <c r="H93" s="11" t="n">
        <v>0.1</v>
      </c>
      <c r="I93" s="14">
        <f>SUM(C93:H93)</f>
        <v/>
      </c>
    </row>
    <row r="94">
      <c r="B94" s="17" t="inlineStr">
        <is>
          <t>Контакт-центр</t>
        </is>
      </c>
      <c r="C94" s="11" t="n">
        <v>0</v>
      </c>
      <c r="D94" s="11" t="n">
        <v>0</v>
      </c>
      <c r="E94" s="11" t="n">
        <v>0.1</v>
      </c>
      <c r="F94" s="11" t="n">
        <v>0.3</v>
      </c>
      <c r="G94" s="11" t="n">
        <v>0.3</v>
      </c>
      <c r="H94" s="11" t="n">
        <v>0.3</v>
      </c>
      <c r="I94" s="14">
        <f>SUM(C94:H94)</f>
        <v/>
      </c>
    </row>
    <row r="95">
      <c r="B95" s="17" t="inlineStr">
        <is>
          <t>Внешний аудит, комплаенс, ИБ</t>
        </is>
      </c>
      <c r="C95" s="11" t="n">
        <v>0.2</v>
      </c>
      <c r="D95" s="11" t="n">
        <v>0</v>
      </c>
      <c r="E95" s="11" t="n">
        <v>0.2</v>
      </c>
      <c r="F95" s="11" t="n">
        <v>0</v>
      </c>
      <c r="G95" s="11" t="n">
        <v>0.3</v>
      </c>
      <c r="H95" s="11" t="n">
        <v>0.3</v>
      </c>
      <c r="I95" s="14">
        <f>SUM(C95:H95)</f>
        <v/>
      </c>
    </row>
    <row r="97">
      <c r="A97" s="6" t="inlineStr">
        <is>
          <t>Оценка вариантов: веса факторов и оценки 1-5 (00, разд. 3; уточняются по симуляции)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5" t="inlineStr"/>
      <c r="B98" s="5" t="inlineStr">
        <is>
          <t>Фактор</t>
        </is>
      </c>
      <c r="C98" s="5" t="inlineStr">
        <is>
          <t>Вес</t>
        </is>
      </c>
      <c r="D98" s="5" t="inlineStr">
        <is>
          <t>В1</t>
        </is>
      </c>
      <c r="E98" s="5" t="inlineStr">
        <is>
          <t>В2</t>
        </is>
      </c>
      <c r="F98" s="5" t="inlineStr">
        <is>
          <t>В3</t>
        </is>
      </c>
      <c r="G98" s="5" t="inlineStr">
        <is>
          <t>В4</t>
        </is>
      </c>
    </row>
    <row r="99">
      <c r="B99" s="17" t="inlineStr">
        <is>
          <t>Качество выявления (полнота)</t>
        </is>
      </c>
      <c r="C99" s="11" t="n">
        <v>0.25</v>
      </c>
      <c r="D99" s="9" t="n">
        <v>2</v>
      </c>
      <c r="E99" s="9" t="n">
        <v>4</v>
      </c>
      <c r="F99" s="9" t="n">
        <v>4</v>
      </c>
      <c r="G99" s="9" t="n">
        <v>3</v>
      </c>
    </row>
    <row r="100">
      <c r="B100" s="17" t="inlineStr">
        <is>
          <t>Ошибочные ограничения (ложные срабатывания)</t>
        </is>
      </c>
      <c r="C100" s="11" t="n">
        <v>0.2</v>
      </c>
      <c r="D100" s="9" t="n">
        <v>2</v>
      </c>
      <c r="E100" s="9" t="n">
        <v>3</v>
      </c>
      <c r="F100" s="9" t="n">
        <v>4</v>
      </c>
      <c r="G100" s="9" t="n">
        <v>3</v>
      </c>
    </row>
    <row r="101">
      <c r="B101" s="17" t="inlineStr">
        <is>
          <t>Влияние на NPS и удобство</t>
        </is>
      </c>
      <c r="C101" s="11" t="n">
        <v>0.15</v>
      </c>
      <c r="D101" s="9" t="n">
        <v>2</v>
      </c>
      <c r="E101" s="9" t="n">
        <v>3</v>
      </c>
      <c r="F101" s="9" t="n">
        <v>5</v>
      </c>
      <c r="G101" s="9" t="n">
        <v>2</v>
      </c>
    </row>
    <row r="102">
      <c r="B102" s="17" t="inlineStr">
        <is>
          <t>Стоимость внедрения</t>
        </is>
      </c>
      <c r="C102" s="11" t="n">
        <v>0.1</v>
      </c>
      <c r="D102" s="9" t="n">
        <v>5</v>
      </c>
      <c r="E102" s="9" t="n">
        <v>3</v>
      </c>
      <c r="F102" s="9" t="n">
        <v>3</v>
      </c>
      <c r="G102" s="9" t="n">
        <v>4</v>
      </c>
    </row>
    <row r="103">
      <c r="B103" s="17" t="inlineStr">
        <is>
          <t>Срок (укладывается ли в 6 мес.)</t>
        </is>
      </c>
      <c r="C103" s="11" t="n">
        <v>0.1</v>
      </c>
      <c r="D103" s="9" t="n">
        <v>5</v>
      </c>
      <c r="E103" s="9" t="n">
        <v>3</v>
      </c>
      <c r="F103" s="9" t="n">
        <v>3</v>
      </c>
      <c r="G103" s="9" t="n">
        <v>2</v>
      </c>
    </row>
    <row r="104">
      <c r="B104" s="17" t="inlineStr">
        <is>
          <t>Соответствие 161-ФЗ</t>
        </is>
      </c>
      <c r="C104" s="11" t="n">
        <v>0.1</v>
      </c>
      <c r="D104" s="9" t="n">
        <v>4</v>
      </c>
      <c r="E104" s="9" t="n">
        <v>4</v>
      </c>
      <c r="F104" s="9" t="n">
        <v>5</v>
      </c>
      <c r="G104" s="9" t="n">
        <v>3</v>
      </c>
    </row>
    <row r="105">
      <c r="B105" s="17" t="inlineStr">
        <is>
          <t>Устойчивость к задержке данных до суток</t>
        </is>
      </c>
      <c r="C105" s="11" t="n">
        <v>0.05</v>
      </c>
      <c r="D105" s="9" t="n">
        <v>3</v>
      </c>
      <c r="E105" s="9" t="n">
        <v>3</v>
      </c>
      <c r="F105" s="9" t="n">
        <v>4</v>
      </c>
      <c r="G105" s="9" t="n">
        <v>3</v>
      </c>
    </row>
    <row r="106">
      <c r="B106" s="17" t="inlineStr">
        <is>
          <t>Риски внедрения</t>
        </is>
      </c>
      <c r="C106" s="11" t="n">
        <v>0.05</v>
      </c>
      <c r="D106" s="9" t="n">
        <v>4</v>
      </c>
      <c r="E106" s="9" t="n">
        <v>3</v>
      </c>
      <c r="F106" s="9" t="n">
        <v>3</v>
      </c>
      <c r="G106" s="9" t="n">
        <v>2</v>
      </c>
    </row>
    <row r="107">
      <c r="B107" s="18" t="inlineStr">
        <is>
          <t>Сумма весов (должна быть 100%)</t>
        </is>
      </c>
      <c r="C107" s="14">
        <f>SUM(C99:C106)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База: потери рынка и ВТБ (квартал → год)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Значение</t>
        </is>
      </c>
      <c r="D4" s="5" t="inlineStr">
        <is>
          <t>Ед.</t>
        </is>
      </c>
      <c r="E4" s="5" t="inlineStr">
        <is>
          <t>Как считается</t>
        </is>
      </c>
    </row>
    <row r="5">
      <c r="A5" s="6" t="inlineStr">
        <is>
          <t>Рынок, все клиенты</t>
        </is>
      </c>
      <c r="B5" s="6" t="n"/>
      <c r="C5" s="6" t="n"/>
      <c r="D5" s="6" t="n"/>
      <c r="E5" s="6" t="n"/>
    </row>
    <row r="6">
      <c r="B6" s="17" t="inlineStr">
        <is>
          <t>ОБДС, I кв. 2026: сумма</t>
        </is>
      </c>
      <c r="C6" s="19">
        <f>'Допущения'!$D$12</f>
        <v/>
      </c>
      <c r="D6" s="17" t="inlineStr">
        <is>
          <t>млн руб.</t>
        </is>
      </c>
      <c r="E6" s="20" t="inlineStr">
        <is>
          <t>Банк России</t>
        </is>
      </c>
    </row>
    <row r="7">
      <c r="B7" s="17" t="inlineStr">
        <is>
          <t>ОБДС, II кв. 2026: сумма</t>
        </is>
      </c>
      <c r="C7" s="19">
        <f>'Допущения'!$D$14</f>
        <v/>
      </c>
      <c r="D7" s="17" t="inlineStr">
        <is>
          <t>млн руб.</t>
        </is>
      </c>
      <c r="E7" s="20" t="inlineStr">
        <is>
          <t>Банк России</t>
        </is>
      </c>
    </row>
    <row r="8">
      <c r="B8" s="17" t="inlineStr">
        <is>
          <t>ОБДС, I кв. 2026: операций</t>
        </is>
      </c>
      <c r="C8" s="21">
        <f>'Допущения'!$D$13</f>
        <v/>
      </c>
      <c r="D8" s="17" t="inlineStr">
        <is>
          <t>шт.</t>
        </is>
      </c>
      <c r="E8" s="20" t="inlineStr">
        <is>
          <t>Банк России</t>
        </is>
      </c>
    </row>
    <row r="9">
      <c r="B9" s="17" t="inlineStr">
        <is>
          <t>ОБДС, II кв. 2026: операций</t>
        </is>
      </c>
      <c r="C9" s="21">
        <f>'Допущения'!$D$15</f>
        <v/>
      </c>
      <c r="D9" s="17" t="inlineStr">
        <is>
          <t>шт.</t>
        </is>
      </c>
      <c r="E9" s="20" t="inlineStr">
        <is>
          <t>Банк России</t>
        </is>
      </c>
    </row>
    <row r="10">
      <c r="B10" s="17" t="inlineStr">
        <is>
          <t>Годовая база ОБДС по рынку</t>
        </is>
      </c>
      <c r="C10" s="19">
        <f>'Допущения'!$D$30</f>
        <v/>
      </c>
      <c r="D10" s="17" t="inlineStr">
        <is>
          <t>млрд руб./год</t>
        </is>
      </c>
      <c r="E10" s="20" t="inlineStr">
        <is>
          <t>(I кв. + II кв.) × 2</t>
        </is>
      </c>
    </row>
    <row r="11">
      <c r="A11" s="6" t="inlineStr">
        <is>
          <t>Физлица по каналам, II кв. 2026</t>
        </is>
      </c>
      <c r="B11" s="6" t="n"/>
      <c r="C11" s="6" t="n"/>
      <c r="D11" s="6" t="n"/>
      <c r="E11" s="6" t="n"/>
    </row>
    <row r="12">
      <c r="B12" s="17" t="inlineStr">
        <is>
          <t>Переводы со счета (ДБО): сумма</t>
        </is>
      </c>
      <c r="C12" s="19">
        <f>'Допущения'!$D$16</f>
        <v/>
      </c>
      <c r="D12" s="17" t="inlineStr">
        <is>
          <t>млрд руб.</t>
        </is>
      </c>
      <c r="E12" s="20" t="inlineStr"/>
    </row>
    <row r="13">
      <c r="B13" s="17" t="inlineStr">
        <is>
          <t>Переводы со счета (ДБО): операций</t>
        </is>
      </c>
      <c r="C13" s="19">
        <f>'Допущения'!$D$17</f>
        <v/>
      </c>
      <c r="D13" s="17" t="inlineStr">
        <is>
          <t>тыс.</t>
        </is>
      </c>
      <c r="E13" s="20" t="inlineStr"/>
    </row>
    <row r="14">
      <c r="B14" s="17" t="inlineStr">
        <is>
          <t>Переводы со счета (ДБО): средний чек</t>
        </is>
      </c>
      <c r="C14" s="12">
        <f>IF($C$13=0,0,$C$12/$C$13*1000)</f>
        <v/>
      </c>
      <c r="D14" s="17" t="inlineStr">
        <is>
          <t>тыс. руб.</t>
        </is>
      </c>
      <c r="E14" s="20" t="inlineStr">
        <is>
          <t>сумма / операции</t>
        </is>
      </c>
    </row>
    <row r="15">
      <c r="B15" s="17" t="inlineStr">
        <is>
          <t>СБП: сумма</t>
        </is>
      </c>
      <c r="C15" s="19">
        <f>'Допущения'!$D$18</f>
        <v/>
      </c>
      <c r="D15" s="17" t="inlineStr">
        <is>
          <t>млрд руб.</t>
        </is>
      </c>
      <c r="E15" s="20" t="inlineStr"/>
    </row>
    <row r="16">
      <c r="B16" s="17" t="inlineStr">
        <is>
          <t>СБП: операций</t>
        </is>
      </c>
      <c r="C16" s="19">
        <f>'Допущения'!$D$19</f>
        <v/>
      </c>
      <c r="D16" s="17" t="inlineStr">
        <is>
          <t>тыс.</t>
        </is>
      </c>
      <c r="E16" s="20" t="inlineStr"/>
    </row>
    <row r="17">
      <c r="B17" s="17" t="inlineStr">
        <is>
          <t>СБП: средний чек</t>
        </is>
      </c>
      <c r="C17" s="12">
        <f>IF($C$16=0,0,$C$15/$C$16*1000)</f>
        <v/>
      </c>
      <c r="D17" s="17" t="inlineStr">
        <is>
          <t>тыс. руб.</t>
        </is>
      </c>
      <c r="E17" s="20" t="inlineStr">
        <is>
          <t>сумма / операции</t>
        </is>
      </c>
    </row>
    <row r="18">
      <c r="B18" s="17" t="inlineStr">
        <is>
          <t>Карты (вне фокуса): сумма</t>
        </is>
      </c>
      <c r="C18" s="19">
        <f>'Допущения'!$D$20</f>
        <v/>
      </c>
      <c r="D18" s="17" t="inlineStr">
        <is>
          <t>млрд руб.</t>
        </is>
      </c>
      <c r="E18" s="20" t="inlineStr"/>
    </row>
    <row r="19">
      <c r="B19" s="17" t="inlineStr">
        <is>
          <t>Карты (вне фокуса): операций</t>
        </is>
      </c>
      <c r="C19" s="19">
        <f>'Допущения'!$D$21</f>
        <v/>
      </c>
      <c r="D19" s="17" t="inlineStr">
        <is>
          <t>тыс.</t>
        </is>
      </c>
      <c r="E19" s="20" t="inlineStr"/>
    </row>
    <row r="20">
      <c r="B20" s="17" t="inlineStr">
        <is>
          <t>Карты (вне фокуса): средний чек</t>
        </is>
      </c>
      <c r="C20" s="12">
        <f>IF($C$19=0,0,$C$18/$C$19*1000)</f>
        <v/>
      </c>
      <c r="D20" s="17" t="inlineStr">
        <is>
          <t>тыс. руб.</t>
        </is>
      </c>
      <c r="E20" s="20" t="inlineStr">
        <is>
          <t>сумма / операции</t>
        </is>
      </c>
    </row>
    <row r="21">
      <c r="B21" s="17" t="inlineStr">
        <is>
          <t>Итого физлица: сумма</t>
        </is>
      </c>
      <c r="C21" s="12">
        <f>'Допущения'!$D$16+'Допущения'!$D$18+'Допущения'!$D$20+'Допущения'!$D$22+'Допущения'!$D$24</f>
        <v/>
      </c>
      <c r="D21" s="17" t="inlineStr">
        <is>
          <t>млрд руб.</t>
        </is>
      </c>
      <c r="E21" s="20" t="inlineStr">
        <is>
          <t>все каналы физлиц</t>
        </is>
      </c>
    </row>
    <row r="22">
      <c r="B22" s="17" t="inlineStr">
        <is>
          <t>Итого физлица: операций</t>
        </is>
      </c>
      <c r="C22" s="12">
        <f>'Допущения'!$D$17+'Допущения'!$D$19+'Допущения'!$D$21+'Допущения'!$D$23+'Допущения'!$D$25</f>
        <v/>
      </c>
      <c r="D22" s="17" t="inlineStr">
        <is>
          <t>тыс.</t>
        </is>
      </c>
      <c r="E22" s="20" t="inlineStr">
        <is>
          <t>все каналы физлиц</t>
        </is>
      </c>
    </row>
    <row r="23">
      <c r="B23" s="17" t="inlineStr">
        <is>
          <t>Фокус (СБП + счета): сумма за квартал</t>
        </is>
      </c>
      <c r="C23" s="12">
        <f>$C$12+$C$15</f>
        <v/>
      </c>
      <c r="D23" s="17" t="inlineStr">
        <is>
          <t>млрд руб.</t>
        </is>
      </c>
      <c r="E23" s="20" t="inlineStr"/>
    </row>
    <row r="24">
      <c r="B24" s="17" t="inlineStr">
        <is>
          <t>Фокус (СБП + счета): операций за квартал</t>
        </is>
      </c>
      <c r="C24" s="12">
        <f>$C$13+$C$16</f>
        <v/>
      </c>
      <c r="D24" s="17" t="inlineStr">
        <is>
          <t>тыс.</t>
        </is>
      </c>
      <c r="E24" s="20" t="inlineStr"/>
    </row>
    <row r="25">
      <c r="B25" s="17" t="inlineStr">
        <is>
          <t>Доля фокуса в сумме ОБДС физлиц</t>
        </is>
      </c>
      <c r="C25" s="14">
        <f>IF($C$21=0,0,$C$23/$C$21)</f>
        <v/>
      </c>
      <c r="D25" s="17" t="inlineStr">
        <is>
          <t>%</t>
        </is>
      </c>
      <c r="E25" s="20" t="inlineStr">
        <is>
          <t>аргумент для слайда 2</t>
        </is>
      </c>
    </row>
    <row r="26">
      <c r="B26" s="17" t="inlineStr">
        <is>
          <t>Доля фокуса в операциях ОБДС физлиц</t>
        </is>
      </c>
      <c r="C26" s="14">
        <f>IF($C$22=0,0,$C$24/$C$22)</f>
        <v/>
      </c>
      <c r="D26" s="17" t="inlineStr">
        <is>
          <t>%</t>
        </is>
      </c>
      <c r="E26" s="20" t="inlineStr">
        <is>
          <t>аргумент для слайда 2</t>
        </is>
      </c>
    </row>
    <row r="27">
      <c r="A27" s="6" t="inlineStr">
        <is>
          <t>ВТБ, годовая основа</t>
        </is>
      </c>
      <c r="B27" s="6" t="n"/>
      <c r="C27" s="6" t="n"/>
      <c r="D27" s="6" t="n"/>
      <c r="E27" s="6" t="n"/>
    </row>
    <row r="28">
      <c r="B28" s="17" t="inlineStr">
        <is>
          <t>Годовые потери физлиц рынка в фокусе</t>
        </is>
      </c>
      <c r="C28" s="19">
        <f>'Допущения'!$D$31</f>
        <v/>
      </c>
      <c r="D28" s="17" t="inlineStr">
        <is>
          <t>млрд руб./год</t>
        </is>
      </c>
      <c r="E28" s="20" t="inlineStr">
        <is>
          <t>квартал × 4</t>
        </is>
      </c>
    </row>
    <row r="29">
      <c r="B29" s="17" t="inlineStr">
        <is>
          <t>Доля ВТБ в потерях фокуса</t>
        </is>
      </c>
      <c r="C29" s="22">
        <f>'Допущения'!$D$33</f>
        <v/>
      </c>
      <c r="D29" s="17" t="inlineStr">
        <is>
          <t>%</t>
        </is>
      </c>
      <c r="E29" s="20" t="inlineStr">
        <is>
          <t>гипотеза</t>
        </is>
      </c>
    </row>
    <row r="30">
      <c r="B30" s="17" t="inlineStr">
        <is>
          <t>Потери клиентов ВТБ в фокусе (было)</t>
        </is>
      </c>
      <c r="C30" s="23">
        <f>'Допущения'!$D$34</f>
        <v/>
      </c>
      <c r="D30" s="17" t="inlineStr">
        <is>
          <t>млн руб./год</t>
        </is>
      </c>
      <c r="E30" s="20" t="inlineStr">
        <is>
          <t>A4 × A5</t>
        </is>
      </c>
    </row>
    <row r="31">
      <c r="B31" s="17" t="inlineStr">
        <is>
          <t>Операций ОБДС в фокусе у ВТБ</t>
        </is>
      </c>
      <c r="C31" s="13">
        <f>$C$24*4*'Допущения'!$D$33</f>
        <v/>
      </c>
      <c r="D31" s="17" t="inlineStr">
        <is>
          <t>тыс./год</t>
        </is>
      </c>
      <c r="E31" s="20" t="inlineStr">
        <is>
          <t>операции фокуса × 4 × A5</t>
        </is>
      </c>
    </row>
    <row r="32">
      <c r="B32" s="17" t="inlineStr">
        <is>
          <t>Средний чек ОБДС в фокусе</t>
        </is>
      </c>
      <c r="C32" s="12">
        <f>IF($C$24=0,0,$C$23/$C$24*1000)</f>
        <v/>
      </c>
      <c r="D32" s="17" t="inlineStr">
        <is>
          <t>тыс. руб.</t>
        </is>
      </c>
      <c r="E32" s="20" t="inlineStr"/>
    </row>
    <row r="33">
      <c r="B33" s="17" t="inlineStr">
        <is>
          <t>Попытки хищения в фокусе у ВТБ (по сумме)</t>
        </is>
      </c>
      <c r="C33" s="13">
        <f>IF(1-'Допущения'!$D$36=0,0,$C$30/(1-'Допущения'!$D$36))</f>
        <v/>
      </c>
      <c r="D33" s="17" t="inlineStr">
        <is>
          <t>млн руб./год</t>
        </is>
      </c>
      <c r="E33" s="20" t="inlineStr">
        <is>
          <t>потери = попытки × (1 − полнота A7)</t>
        </is>
      </c>
    </row>
    <row r="34">
      <c r="B34" s="17" t="inlineStr">
        <is>
          <t>Попытки хищения в фокусе у ВТБ (по числу)</t>
        </is>
      </c>
      <c r="C34" s="13">
        <f>IF(1-'Допущения'!$D$36=0,0,$C$31/(1-'Допущения'!$D$36))</f>
        <v/>
      </c>
      <c r="D34" s="17" t="inlineStr">
        <is>
          <t>тыс./год</t>
        </is>
      </c>
      <c r="E34" s="20" t="inlineStr">
        <is>
          <t>ОБДС = попытки × (1 − полнота A7); полнота по числу = по сумме (допущение)</t>
        </is>
      </c>
    </row>
    <row r="35">
      <c r="A35" s="6" t="inlineStr">
        <is>
          <t>Сверка допущений с фактами Банка России</t>
        </is>
      </c>
      <c r="B35" s="6" t="n"/>
      <c r="C35" s="6" t="n"/>
      <c r="D35" s="6" t="n"/>
      <c r="E35" s="6" t="n"/>
    </row>
    <row r="36">
      <c r="B36" s="17" t="inlineStr">
        <is>
          <t>Потери физлиц в фокусе, факт 2025 года</t>
        </is>
      </c>
      <c r="C36" s="12">
        <f>('Допущения'!$D$26+'Допущения'!$D$27)/1000</f>
        <v/>
      </c>
      <c r="D36" s="17" t="inlineStr">
        <is>
          <t>млрд руб.</t>
        </is>
      </c>
      <c r="E36" s="20" t="inlineStr">
        <is>
          <t>M15 + M16</t>
        </is>
      </c>
    </row>
    <row r="37">
      <c r="B37" s="17" t="inlineStr">
        <is>
          <t>Отклонение A4 (II кв. × 4) от факта 2025</t>
        </is>
      </c>
      <c r="C37" s="14">
        <f>IF($C$36=0,0,'Допущения'!$D$31/$C$36-1)</f>
        <v/>
      </c>
      <c r="D37" s="17" t="inlineStr">
        <is>
          <t>%</t>
        </is>
      </c>
      <c r="E37" s="20" t="inlineStr">
        <is>
          <t>&lt; 0: оценка A4 консервативна</t>
        </is>
      </c>
    </row>
    <row r="38">
      <c r="B38" s="17" t="inlineStr">
        <is>
          <t>Доля возврата клиентам в фокусе, II кв. 2026 (взвешенно по сумме)</t>
        </is>
      </c>
      <c r="C38" s="14">
        <f>IF($C$23=0,0,('Допущения'!$D$16*'Допущения'!$D$28+'Допущения'!$D$18*'Допущения'!$D$29)/$C$23)</f>
        <v/>
      </c>
      <c r="D38" s="17" t="inlineStr">
        <is>
          <t>%</t>
        </is>
      </c>
      <c r="E38" s="20" t="inlineStr">
        <is>
          <t>сравнить с A21</t>
        </is>
      </c>
    </row>
    <row r="39">
      <c r="B39" s="17" t="inlineStr">
        <is>
          <t>A21: доля сохраненных средств → избежанный расход банка</t>
        </is>
      </c>
      <c r="C39" s="22">
        <f>'Допущения'!$D$65</f>
        <v/>
      </c>
      <c r="D39" s="17" t="inlineStr">
        <is>
          <t>%</t>
        </is>
      </c>
      <c r="E39" s="20" t="inlineStr">
        <is>
          <t>гипотеза команды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8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>
      <c r="A1" s="1" t="inlineStr">
        <is>
          <t>KPI «было → стало» (слайд 6)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Ед.</t>
        </is>
      </c>
      <c r="D4" s="5" t="inlineStr">
        <is>
          <t>Было</t>
        </is>
      </c>
      <c r="E4" s="5" t="inlineStr">
        <is>
          <t>Стало: пессимист</t>
        </is>
      </c>
      <c r="F4" s="5" t="inlineStr">
        <is>
          <t>Стало: база</t>
        </is>
      </c>
      <c r="G4" s="5" t="inlineStr">
        <is>
          <t>Стало: оптимист</t>
        </is>
      </c>
      <c r="H4" s="5" t="inlineStr">
        <is>
          <t>Комментарий</t>
        </is>
      </c>
    </row>
    <row r="5">
      <c r="B5" s="17" t="inlineStr">
        <is>
          <t>1. Потери клиентов ВТБ в фокусе</t>
        </is>
      </c>
      <c r="C5" s="17" t="inlineStr">
        <is>
          <t>млн руб./год</t>
        </is>
      </c>
      <c r="D5" s="23">
        <f>'Допущения'!$D$34</f>
        <v/>
      </c>
      <c r="E5" s="13">
        <f>'Допущения'!$D$34*(1-'Допущения'!$C$39)*(1-'Допущения'!$C$37)/(1-'Допущения'!$D$36)</f>
        <v/>
      </c>
      <c r="F5" s="13">
        <f>'Допущения'!$D$34*(1-'Допущения'!$D$39)*(1-'Допущения'!$D$37)/(1-'Допущения'!$D$36)</f>
        <v/>
      </c>
      <c r="G5" s="13">
        <f>'Допущения'!$D$34*(1-'Допущения'!$E$39)*(1-'Допущения'!$E$37)/(1-'Допущения'!$D$36)</f>
        <v/>
      </c>
      <c r="H5" s="20" t="inlineStr">
        <is>
          <t>потери = попытки × (1 − полнота)</t>
        </is>
      </c>
    </row>
    <row r="6">
      <c r="B6" s="17" t="inlineStr">
        <is>
          <t xml:space="preserve">   Сохраненные средства клиентов (KPI, не доход банка)</t>
        </is>
      </c>
      <c r="C6" s="17" t="inlineStr">
        <is>
          <t>млн руб./год</t>
        </is>
      </c>
      <c r="D6" s="17" t="n"/>
      <c r="E6" s="13">
        <f>$D$5-E5</f>
        <v/>
      </c>
      <c r="F6" s="13">
        <f>$D$5-F5</f>
        <v/>
      </c>
      <c r="G6" s="13">
        <f>$D$5-G5</f>
        <v/>
      </c>
      <c r="H6" s="20" t="inlineStr">
        <is>
          <t>не доход банка</t>
        </is>
      </c>
    </row>
    <row r="7">
      <c r="B7" s="17" t="inlineStr">
        <is>
          <t xml:space="preserve">   Сокращение потерь</t>
        </is>
      </c>
      <c r="C7" s="17" t="inlineStr">
        <is>
          <t>%</t>
        </is>
      </c>
      <c r="D7" s="17" t="n"/>
      <c r="E7" s="14">
        <f>IF($D$5=0,0,E6/$D$5)</f>
        <v/>
      </c>
      <c r="F7" s="14">
        <f>IF($D$5=0,0,F6/$D$5)</f>
        <v/>
      </c>
      <c r="G7" s="14">
        <f>IF($D$5=0,0,G6/$D$5)</f>
        <v/>
      </c>
      <c r="H7" s="20" t="inlineStr"/>
    </row>
    <row r="8">
      <c r="B8" s="17" t="inlineStr">
        <is>
          <t>2. Полнота выявления (по сумме)</t>
        </is>
      </c>
      <c r="C8" s="17" t="inlineStr">
        <is>
          <t>%</t>
        </is>
      </c>
      <c r="D8" s="22">
        <f>'Допущения'!$D$36</f>
        <v/>
      </c>
      <c r="E8" s="22">
        <f>'Допущения'!$C$37</f>
        <v/>
      </c>
      <c r="F8" s="22">
        <f>'Допущения'!$D$37</f>
        <v/>
      </c>
      <c r="G8" s="22">
        <f>'Допущения'!$E$37</f>
        <v/>
      </c>
      <c r="H8" s="20" t="inlineStr">
        <is>
          <t>гипотеза</t>
        </is>
      </c>
    </row>
    <row r="9">
      <c r="B9" s="17" t="inlineStr">
        <is>
          <t xml:space="preserve">   Корректно выявлено мошеннических операций</t>
        </is>
      </c>
      <c r="C9" s="17" t="inlineStr">
        <is>
          <t>тыс./год</t>
        </is>
      </c>
      <c r="D9" s="13">
        <f>'База'!$C$34*'Допущения'!$D$36</f>
        <v/>
      </c>
      <c r="E9" s="13">
        <f>'База'!$C$34*(1-'Допущения'!$C$39)*'Допущения'!$C$37</f>
        <v/>
      </c>
      <c r="F9" s="13">
        <f>'База'!$C$34*(1-'Допущения'!$D$39)*'Допущения'!$D$37</f>
        <v/>
      </c>
      <c r="G9" s="13">
        <f>'База'!$C$34*(1-'Допущения'!$E$39)*'Допущения'!$E$37</f>
        <v/>
      </c>
      <c r="H9" s="20" t="inlineStr">
        <is>
          <t>TP = попытки (шт.) × полнота; формулировка кейса</t>
        </is>
      </c>
    </row>
    <row r="10">
      <c r="B10" s="17" t="inlineStr">
        <is>
          <t xml:space="preserve">   Изменение числа выявленных</t>
        </is>
      </c>
      <c r="C10" s="17" t="inlineStr">
        <is>
          <t>%</t>
        </is>
      </c>
      <c r="D10" s="17" t="n"/>
      <c r="E10" s="14">
        <f>IF($D$9=0,0,E9/$D$9-1)</f>
        <v/>
      </c>
      <c r="F10" s="14">
        <f>IF($D$9=0,0,F9/$D$9-1)</f>
        <v/>
      </c>
      <c r="G10" s="14">
        <f>IF($D$9=0,0,G9/$D$9-1)</f>
        <v/>
      </c>
      <c r="H10" s="20" t="inlineStr">
        <is>
          <t>в оптимисте попыток меньше (сдерживание)</t>
        </is>
      </c>
    </row>
    <row r="11">
      <c r="B11" s="17" t="inlineStr">
        <is>
          <t>3. Ошибочные ограничения (доля законных переводов)</t>
        </is>
      </c>
      <c r="C11" s="17" t="inlineStr">
        <is>
          <t>%</t>
        </is>
      </c>
      <c r="D11" s="24">
        <f>'Ложные срабатывания'!$D$13</f>
        <v/>
      </c>
      <c r="E11" s="24">
        <f>'Ложные срабатывания'!$E$13</f>
        <v/>
      </c>
      <c r="F11" s="24">
        <f>'Ложные срабатывания'!$F$13</f>
        <v/>
      </c>
      <c r="G11" s="24">
        <f>'Ложные срабатывания'!$G$13</f>
        <v/>
      </c>
      <c r="H11" s="20" t="inlineStr"/>
    </row>
    <row r="12">
      <c r="B12" s="17" t="inlineStr">
        <is>
          <t xml:space="preserve">   Изменение ошибочных ограничений</t>
        </is>
      </c>
      <c r="C12" s="17" t="inlineStr">
        <is>
          <t>%</t>
        </is>
      </c>
      <c r="D12" s="17" t="n"/>
      <c r="E12" s="14">
        <f>IF($D$11=0,0,E11/$D$11-1)</f>
        <v/>
      </c>
      <c r="F12" s="14">
        <f>IF($D$11=0,0,F11/$D$11-1)</f>
        <v/>
      </c>
      <c r="G12" s="14">
        <f>IF($D$11=0,0,G11/$D$11-1)</f>
        <v/>
      </c>
      <c r="H12" s="20" t="inlineStr"/>
    </row>
    <row r="13">
      <c r="B13" s="17" t="inlineStr">
        <is>
          <t>4. NPS банка в целом: изменение</t>
        </is>
      </c>
      <c r="C13" s="17" t="inlineStr">
        <is>
          <t>п.</t>
        </is>
      </c>
      <c r="D13" s="25" t="n">
        <v>0</v>
      </c>
      <c r="E13" s="26">
        <f>'NPS'!$E$10</f>
        <v/>
      </c>
      <c r="F13" s="26">
        <f>'NPS'!$F$10</f>
        <v/>
      </c>
      <c r="G13" s="26">
        <f>'NPS'!$G$10</f>
        <v/>
      </c>
      <c r="H13" s="20" t="inlineStr">
        <is>
          <t>было = базовое значение NPS</t>
        </is>
      </c>
    </row>
    <row r="14">
      <c r="B14" s="17" t="inlineStr">
        <is>
          <t>5. Число попыток мошенничества: изменение</t>
        </is>
      </c>
      <c r="C14" s="17" t="inlineStr">
        <is>
          <t>%</t>
        </is>
      </c>
      <c r="D14" s="14" t="n">
        <v>0</v>
      </c>
      <c r="E14" s="14">
        <f>-'Допущения'!$C$39</f>
        <v/>
      </c>
      <c r="F14" s="14">
        <f>-'Допущения'!$D$39</f>
        <v/>
      </c>
      <c r="G14" s="14">
        <f>-'Допущения'!$E$39</f>
        <v/>
      </c>
      <c r="H14" s="20" t="inlineStr">
        <is>
          <t>опционально; риск адаптации мошенников</t>
        </is>
      </c>
    </row>
    <row r="15">
      <c r="B15" s="17" t="inlineStr">
        <is>
          <t>Справочно: клиенты с ошибочным ограничением</t>
        </is>
      </c>
      <c r="C15" s="17" t="inlineStr">
        <is>
          <t>млн</t>
        </is>
      </c>
      <c r="D15" s="27">
        <f>'Ложные срабатывания'!$D$16</f>
        <v/>
      </c>
      <c r="E15" s="27">
        <f>'Ложные срабатывания'!$E$16</f>
        <v/>
      </c>
      <c r="F15" s="27">
        <f>'Ложные срабатывания'!$F$16</f>
        <v/>
      </c>
      <c r="G15" s="27">
        <f>'Ложные срабатывания'!$G$16</f>
        <v/>
      </c>
      <c r="H15" s="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0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  <col width="36" customWidth="1" min="8" max="8"/>
  </cols>
  <sheetData>
    <row r="1">
      <c r="A1" s="1" t="inlineStr">
        <is>
          <t>Ложные срабатывания: сигналы ≠ ограничения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Ед.</t>
        </is>
      </c>
      <c r="D4" s="5" t="inlineStr">
        <is>
          <t>Сейчас</t>
        </is>
      </c>
      <c r="E4" s="5" t="inlineStr">
        <is>
          <t>После: пессимист</t>
        </is>
      </c>
      <c r="F4" s="5" t="inlineStr">
        <is>
          <t>После: база</t>
        </is>
      </c>
      <c r="G4" s="5" t="inlineStr">
        <is>
          <t>После: оптимист</t>
        </is>
      </c>
      <c r="H4" s="5" t="inlineStr">
        <is>
          <t>Комментарий</t>
        </is>
      </c>
    </row>
    <row r="5">
      <c r="B5" s="17" t="inlineStr">
        <is>
          <t>Законные переводы физлиц в фокусе</t>
        </is>
      </c>
      <c r="C5" s="17" t="inlineStr">
        <is>
          <t>млн/год</t>
        </is>
      </c>
      <c r="D5" s="23">
        <f>'Допущения'!$D$43</f>
        <v/>
      </c>
      <c r="E5" s="23">
        <f>'Допущения'!$D$43</f>
        <v/>
      </c>
      <c r="F5" s="23">
        <f>'Допущения'!$D$43</f>
        <v/>
      </c>
      <c r="G5" s="23">
        <f>'Допущения'!$D$43</f>
        <v/>
      </c>
      <c r="H5" s="20" t="inlineStr">
        <is>
          <t>A10</t>
        </is>
      </c>
    </row>
    <row r="6">
      <c r="B6" s="17" t="inlineStr">
        <is>
          <t>Доля законных переводов с сигналом</t>
        </is>
      </c>
      <c r="C6" s="17" t="inlineStr">
        <is>
          <t>%</t>
        </is>
      </c>
      <c r="D6" s="22">
        <f>'Допущения'!$D$44</f>
        <v/>
      </c>
      <c r="E6" s="22">
        <f>'Допущения'!$D$45</f>
        <v/>
      </c>
      <c r="F6" s="22">
        <f>'Допущения'!$D$45</f>
        <v/>
      </c>
      <c r="G6" s="22">
        <f>'Допущения'!$D$45</f>
        <v/>
      </c>
      <c r="H6" s="20" t="inlineStr">
        <is>
          <t>A11</t>
        </is>
      </c>
    </row>
    <row r="7">
      <c r="B7" s="17" t="inlineStr">
        <is>
          <t>Сигналы на законных переводах (FP)</t>
        </is>
      </c>
      <c r="C7" s="17" t="inlineStr">
        <is>
          <t>млн/год</t>
        </is>
      </c>
      <c r="D7" s="12">
        <f>D5*D6</f>
        <v/>
      </c>
      <c r="E7" s="12">
        <f>E5*E6</f>
        <v/>
      </c>
      <c r="F7" s="12">
        <f>F5*F6</f>
        <v/>
      </c>
      <c r="G7" s="12">
        <f>G5*G6</f>
        <v/>
      </c>
      <c r="H7" s="20" t="inlineStr"/>
    </row>
    <row r="8">
      <c r="B8" s="17" t="inlineStr">
        <is>
          <t>Законные переводы без сигнала (TN)</t>
        </is>
      </c>
      <c r="C8" s="17" t="inlineStr">
        <is>
          <t>млн/год</t>
        </is>
      </c>
      <c r="D8" s="13">
        <f>D5-D7</f>
        <v/>
      </c>
      <c r="E8" s="13">
        <f>E5-E7</f>
        <v/>
      </c>
      <c r="F8" s="13">
        <f>F5-F7</f>
        <v/>
      </c>
      <c r="G8" s="13">
        <f>G5-G7</f>
        <v/>
      </c>
      <c r="H8" s="20" t="inlineStr"/>
    </row>
    <row r="9">
      <c r="B9" s="17" t="inlineStr">
        <is>
          <t>Доля ложных срабатываний среди законных = FP / (FP + TN)</t>
        </is>
      </c>
      <c r="C9" s="17" t="inlineStr">
        <is>
          <t>%</t>
        </is>
      </c>
      <c r="D9" s="15">
        <f>IF(D7+D8=0,0,D7/(D7+D8))</f>
        <v/>
      </c>
      <c r="E9" s="15">
        <f>IF(E7+E8=0,0,E7/(E7+E8))</f>
        <v/>
      </c>
      <c r="F9" s="15">
        <f>IF(F7+F8=0,0,F7/(F7+F8))</f>
        <v/>
      </c>
      <c r="G9" s="15">
        <f>IF(G7+G8=0,0,G7/(G7+G8))</f>
        <v/>
      </c>
      <c r="H9" s="20" t="inlineStr"/>
    </row>
    <row r="10">
      <c r="B10" s="17" t="inlineStr">
        <is>
          <t>Доля сигналов, ставших ошибочным ограничением</t>
        </is>
      </c>
      <c r="C10" s="17" t="inlineStr">
        <is>
          <t>%</t>
        </is>
      </c>
      <c r="D10" s="22">
        <f>'Допущения'!$D$46</f>
        <v/>
      </c>
      <c r="E10" s="22">
        <f>'Допущения'!$C$47</f>
        <v/>
      </c>
      <c r="F10" s="22">
        <f>'Допущения'!$D$47</f>
        <v/>
      </c>
      <c r="G10" s="22">
        <f>'Допущения'!$E$47</f>
        <v/>
      </c>
      <c r="H10" s="20" t="inlineStr">
        <is>
          <t>A12</t>
        </is>
      </c>
    </row>
    <row r="11">
      <c r="B11" s="17" t="inlineStr">
        <is>
          <t>Доля сигналов, снятых предупреждением или быстрым подтверждением</t>
        </is>
      </c>
      <c r="C11" s="17" t="inlineStr">
        <is>
          <t>%</t>
        </is>
      </c>
      <c r="D11" s="14">
        <f>1-D10</f>
        <v/>
      </c>
      <c r="E11" s="14">
        <f>1-E10</f>
        <v/>
      </c>
      <c r="F11" s="14">
        <f>1-F10</f>
        <v/>
      </c>
      <c r="G11" s="14">
        <f>1-G10</f>
        <v/>
      </c>
      <c r="H11" s="20" t="inlineStr">
        <is>
          <t>не превращаются в ограничения</t>
        </is>
      </c>
    </row>
    <row r="12">
      <c r="B12" s="17" t="inlineStr">
        <is>
          <t>Ошибочные ограничения (пауза, отказ, блок)</t>
        </is>
      </c>
      <c r="C12" s="17" t="inlineStr">
        <is>
          <t>млн/год</t>
        </is>
      </c>
      <c r="D12" s="28">
        <f>D7*D10</f>
        <v/>
      </c>
      <c r="E12" s="28">
        <f>E7*E10</f>
        <v/>
      </c>
      <c r="F12" s="28">
        <f>F7*F10</f>
        <v/>
      </c>
      <c r="G12" s="28">
        <f>G7*G10</f>
        <v/>
      </c>
      <c r="H12" s="20" t="inlineStr"/>
    </row>
    <row r="13">
      <c r="B13" s="17" t="inlineStr">
        <is>
          <t>Ошибочные ограничения, доля законных переводов</t>
        </is>
      </c>
      <c r="C13" s="17" t="inlineStr">
        <is>
          <t>%</t>
        </is>
      </c>
      <c r="D13" s="15">
        <f>IF(D5=0,0,D12/D5)</f>
        <v/>
      </c>
      <c r="E13" s="15">
        <f>IF(E5=0,0,E12/E5)</f>
        <v/>
      </c>
      <c r="F13" s="15">
        <f>IF(F5=0,0,F12/F5)</f>
        <v/>
      </c>
      <c r="G13" s="15">
        <f>IF(G5=0,0,G12/G5)</f>
        <v/>
      </c>
      <c r="H13" s="20" t="inlineStr">
        <is>
          <t>сверка с A13</t>
        </is>
      </c>
    </row>
    <row r="14">
      <c r="B14" s="17" t="inlineStr">
        <is>
          <t>Прямая стоимость одного ошибочного ограничения</t>
        </is>
      </c>
      <c r="C14" s="17" t="inlineStr">
        <is>
          <t>руб.</t>
        </is>
      </c>
      <c r="D14" s="19">
        <f>'Допущения'!$D$59</f>
        <v/>
      </c>
      <c r="E14" s="19">
        <f>'Допущения'!$D$59</f>
        <v/>
      </c>
      <c r="F14" s="19">
        <f>'Допущения'!$D$59</f>
        <v/>
      </c>
      <c r="G14" s="19">
        <f>'Допущения'!$D$59</f>
        <v/>
      </c>
      <c r="H14" s="20" t="inlineStr">
        <is>
          <t>поддержка + разбор + комиссии</t>
        </is>
      </c>
    </row>
    <row r="15">
      <c r="B15" s="17" t="inlineStr">
        <is>
          <t>Прямая стоимость ошибочных ограничений</t>
        </is>
      </c>
      <c r="C15" s="17" t="inlineStr">
        <is>
          <t>млн руб./год</t>
        </is>
      </c>
      <c r="D15" s="13">
        <f>D12*D14</f>
        <v/>
      </c>
      <c r="E15" s="13">
        <f>E12*E14</f>
        <v/>
      </c>
      <c r="F15" s="13">
        <f>F12*F14</f>
        <v/>
      </c>
      <c r="G15" s="13">
        <f>G12*G14</f>
        <v/>
      </c>
      <c r="H15" s="20" t="inlineStr"/>
    </row>
    <row r="16">
      <c r="B16" s="17" t="inlineStr">
        <is>
          <t>Затронуто клиентов</t>
        </is>
      </c>
      <c r="C16" s="17" t="inlineStr">
        <is>
          <t>млн</t>
        </is>
      </c>
      <c r="D16" s="28">
        <f>D12/'Допущения'!$D$60</f>
        <v/>
      </c>
      <c r="E16" s="28">
        <f>E12/'Допущения'!$D$60</f>
        <v/>
      </c>
      <c r="F16" s="28">
        <f>F12/'Допущения'!$D$60</f>
        <v/>
      </c>
      <c r="G16" s="28">
        <f>G12/'Допущения'!$D$60</f>
        <v/>
      </c>
      <c r="H16" s="20" t="inlineStr">
        <is>
          <t>A17 ограничений на клиента</t>
        </is>
      </c>
    </row>
    <row r="17">
      <c r="B17" s="17" t="inlineStr">
        <is>
          <t>Недополученный доход из-за оттока</t>
        </is>
      </c>
      <c r="C17" s="17" t="inlineStr">
        <is>
          <t>млн руб./год</t>
        </is>
      </c>
      <c r="D17" s="13">
        <f>D16*'Допущения'!$D$61*'Допущения'!$D$62</f>
        <v/>
      </c>
      <c r="E17" s="13">
        <f>E16*'Допущения'!$D$61*'Допущения'!$D$62</f>
        <v/>
      </c>
      <c r="F17" s="13">
        <f>F16*'Допущения'!$D$61*'Допущения'!$D$62</f>
        <v/>
      </c>
      <c r="G17" s="13">
        <f>G16*'Допущения'!$D$61*'Допущения'!$D$62</f>
        <v/>
      </c>
      <c r="H17" s="20" t="inlineStr">
        <is>
          <t>клиенты × A18 × A19</t>
        </is>
      </c>
    </row>
    <row r="18">
      <c r="B18" s="17" t="inlineStr">
        <is>
          <t>Полная стоимость ошибочных ограничений</t>
        </is>
      </c>
      <c r="C18" s="17" t="inlineStr">
        <is>
          <t>млн руб./год</t>
        </is>
      </c>
      <c r="D18" s="13">
        <f>D15+D17</f>
        <v/>
      </c>
      <c r="E18" s="13">
        <f>E15+E17</f>
        <v/>
      </c>
      <c r="F18" s="13">
        <f>F15+F17</f>
        <v/>
      </c>
      <c r="G18" s="13">
        <f>G15+G17</f>
        <v/>
      </c>
      <c r="H18" s="20" t="inlineStr"/>
    </row>
    <row r="19">
      <c r="A19" s="6" t="inlineStr">
        <is>
          <t>Эффект к состоянию «сейчас»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B20" s="17" t="inlineStr">
        <is>
          <t>Снижение ошибочных ограничений</t>
        </is>
      </c>
      <c r="C20" s="17" t="inlineStr">
        <is>
          <t>млн/год</t>
        </is>
      </c>
      <c r="D20" s="17" t="n"/>
      <c r="E20" s="28">
        <f>$D$12-E12</f>
        <v/>
      </c>
      <c r="F20" s="28">
        <f>$D$12-F12</f>
        <v/>
      </c>
      <c r="G20" s="28">
        <f>$D$12-G12</f>
        <v/>
      </c>
      <c r="H20" s="20" t="inlineStr"/>
    </row>
    <row r="21">
      <c r="B21" s="17" t="inlineStr">
        <is>
          <t>Снижение ошибочных ограничений, %</t>
        </is>
      </c>
      <c r="C21" s="17" t="inlineStr">
        <is>
          <t>%</t>
        </is>
      </c>
      <c r="D21" s="17" t="n"/>
      <c r="E21" s="14">
        <f>IF($D$12=0,0,E20/$D$12)</f>
        <v/>
      </c>
      <c r="F21" s="14">
        <f>IF($D$12=0,0,F20/$D$12)</f>
        <v/>
      </c>
      <c r="G21" s="14">
        <f>IF($D$12=0,0,G20/$D$12)</f>
        <v/>
      </c>
      <c r="H21" s="20" t="inlineStr"/>
    </row>
    <row r="22">
      <c r="B22" s="17" t="inlineStr">
        <is>
          <t>Экономия на ошибочных ограничениях (прямая)</t>
        </is>
      </c>
      <c r="C22" s="17" t="inlineStr">
        <is>
          <t>млн руб./год</t>
        </is>
      </c>
      <c r="D22" s="17" t="n"/>
      <c r="E22" s="13">
        <f>$D$15-E15</f>
        <v/>
      </c>
      <c r="F22" s="13">
        <f>$D$15-F15</f>
        <v/>
      </c>
      <c r="G22" s="13">
        <f>$D$15-G15</f>
        <v/>
      </c>
      <c r="H22" s="20" t="inlineStr"/>
    </row>
    <row r="23">
      <c r="B23" s="17" t="inlineStr">
        <is>
          <t>Удержание клиентов (меньше оттока)</t>
        </is>
      </c>
      <c r="C23" s="17" t="inlineStr">
        <is>
          <t>млн руб./год</t>
        </is>
      </c>
      <c r="D23" s="17" t="n"/>
      <c r="E23" s="13">
        <f>$D$17-E17</f>
        <v/>
      </c>
      <c r="F23" s="13">
        <f>$D$17-F17</f>
        <v/>
      </c>
      <c r="G23" s="13">
        <f>$D$17-G17</f>
        <v/>
      </c>
      <c r="H23" s="20" t="inlineStr"/>
    </row>
    <row r="24">
      <c r="B24" s="17" t="inlineStr">
        <is>
          <t>Меньше затронутых клиентов</t>
        </is>
      </c>
      <c r="C24" s="17" t="inlineStr">
        <is>
          <t>млн</t>
        </is>
      </c>
      <c r="D24" s="17" t="n"/>
      <c r="E24" s="28">
        <f>$D$16-E16</f>
        <v/>
      </c>
      <c r="F24" s="28">
        <f>$D$16-F16</f>
        <v/>
      </c>
      <c r="G24" s="28">
        <f>$D$16-G16</f>
        <v/>
      </c>
      <c r="H24" s="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NPS: эффект от снижения ошибочных ограничений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Ед.</t>
        </is>
      </c>
      <c r="D4" s="5" t="inlineStr">
        <is>
          <t>Сейчас</t>
        </is>
      </c>
      <c r="E4" s="5" t="inlineStr">
        <is>
          <t>После: пессимист</t>
        </is>
      </c>
      <c r="F4" s="5" t="inlineStr">
        <is>
          <t>После: база</t>
        </is>
      </c>
      <c r="G4" s="5" t="inlineStr">
        <is>
          <t>После: оптимист</t>
        </is>
      </c>
      <c r="H4" s="5" t="inlineStr">
        <is>
          <t>Комментарий</t>
        </is>
      </c>
    </row>
    <row r="5">
      <c r="B5" s="17" t="inlineStr">
        <is>
          <t>Клиентов-физлиц ВТБ</t>
        </is>
      </c>
      <c r="C5" s="17" t="inlineStr">
        <is>
          <t>млн</t>
        </is>
      </c>
      <c r="D5" s="23">
        <f>'Допущения'!$D$7</f>
        <v/>
      </c>
      <c r="E5" s="23">
        <f>'Допущения'!$D$7</f>
        <v/>
      </c>
      <c r="F5" s="23">
        <f>'Допущения'!$D$7</f>
        <v/>
      </c>
      <c r="G5" s="23">
        <f>'Допущения'!$D$7</f>
        <v/>
      </c>
      <c r="H5" s="20" t="inlineStr">
        <is>
          <t>A1, решение команды</t>
        </is>
      </c>
    </row>
    <row r="6">
      <c r="B6" s="17" t="inlineStr">
        <is>
          <t>Затронуто ошибочными ограничениями</t>
        </is>
      </c>
      <c r="C6" s="17" t="inlineStr">
        <is>
          <t>млн</t>
        </is>
      </c>
      <c r="D6" s="27">
        <f>'Ложные срабатывания'!$D$16</f>
        <v/>
      </c>
      <c r="E6" s="27">
        <f>'Ложные срабатывания'!$E$16</f>
        <v/>
      </c>
      <c r="F6" s="27">
        <f>'Ложные срабатывания'!$F$16</f>
        <v/>
      </c>
      <c r="G6" s="27">
        <f>'Ложные срабатывания'!$G$16</f>
        <v/>
      </c>
      <c r="H6" s="20" t="inlineStr"/>
    </row>
    <row r="7">
      <c r="B7" s="17" t="inlineStr">
        <is>
          <t>Доля затронутых клиентов</t>
        </is>
      </c>
      <c r="C7" s="17" t="inlineStr">
        <is>
          <t>%</t>
        </is>
      </c>
      <c r="D7" s="14">
        <f>IF(D5=0,0,D6/D5)</f>
        <v/>
      </c>
      <c r="E7" s="14">
        <f>IF(E5=0,0,E6/E5)</f>
        <v/>
      </c>
      <c r="F7" s="14">
        <f>IF(F5=0,0,F6/F5)</f>
        <v/>
      </c>
      <c r="G7" s="14">
        <f>IF(G5=0,0,G6/G5)</f>
        <v/>
      </c>
      <c r="H7" s="20" t="inlineStr"/>
    </row>
    <row r="8">
      <c r="B8" s="17" t="inlineStr">
        <is>
          <t>Разница NPS: затронутые против остальных</t>
        </is>
      </c>
      <c r="C8" s="17" t="inlineStr">
        <is>
          <t>п.</t>
        </is>
      </c>
      <c r="D8" s="19">
        <f>'Допущения'!$D$63</f>
        <v/>
      </c>
      <c r="E8" s="19">
        <f>'Допущения'!$D$63</f>
        <v/>
      </c>
      <c r="F8" s="19">
        <f>'Допущения'!$D$63</f>
        <v/>
      </c>
      <c r="G8" s="19">
        <f>'Допущения'!$D$63</f>
        <v/>
      </c>
      <c r="H8" s="20" t="inlineStr">
        <is>
          <t>A20</t>
        </is>
      </c>
    </row>
    <row r="9">
      <c r="B9" s="17" t="inlineStr">
        <is>
          <t>Вклад ошибочных ограничений в NPS банка</t>
        </is>
      </c>
      <c r="C9" s="17" t="inlineStr">
        <is>
          <t>п.</t>
        </is>
      </c>
      <c r="D9" s="25">
        <f>D7*D8</f>
        <v/>
      </c>
      <c r="E9" s="25">
        <f>E7*E8</f>
        <v/>
      </c>
      <c r="F9" s="25">
        <f>F7*F8</f>
        <v/>
      </c>
      <c r="G9" s="25">
        <f>G7*G8</f>
        <v/>
      </c>
      <c r="H9" s="20" t="inlineStr">
        <is>
          <t>доля × разница</t>
        </is>
      </c>
    </row>
    <row r="10">
      <c r="B10" s="17" t="inlineStr">
        <is>
          <t>Изменение NPS банка к «сейчас»</t>
        </is>
      </c>
      <c r="C10" s="17" t="inlineStr">
        <is>
          <t>п.</t>
        </is>
      </c>
      <c r="D10" s="17" t="n"/>
      <c r="E10" s="25">
        <f>E9-$D$9</f>
        <v/>
      </c>
      <c r="F10" s="25">
        <f>F9-$D$9</f>
        <v/>
      </c>
      <c r="G10" s="25">
        <f>G9-$D$9</f>
        <v/>
      </c>
      <c r="H10" s="20" t="inlineStr">
        <is>
          <t>на слайд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30" customWidth="1" min="10" max="10"/>
  </cols>
  <sheetData>
    <row r="1">
      <c r="A1" s="1" t="inlineStr">
        <is>
          <t>Затраты: смета внедрения по месяцам (≤ 50 млн руб., ≤ 6 мес.) и эксплуатация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Статья</t>
        </is>
      </c>
      <c r="C4" s="5" t="inlineStr">
        <is>
          <t>Итого, млн руб.</t>
        </is>
      </c>
      <c r="D4" s="5" t="inlineStr">
        <is>
          <t>М1</t>
        </is>
      </c>
      <c r="E4" s="5" t="inlineStr">
        <is>
          <t>М2</t>
        </is>
      </c>
      <c r="F4" s="5" t="inlineStr">
        <is>
          <t>М3</t>
        </is>
      </c>
      <c r="G4" s="5" t="inlineStr">
        <is>
          <t>М4</t>
        </is>
      </c>
      <c r="H4" s="5" t="inlineStr">
        <is>
          <t>М5</t>
        </is>
      </c>
      <c r="I4" s="5" t="inlineStr">
        <is>
          <t>М6</t>
        </is>
      </c>
      <c r="J4" s="5" t="inlineStr">
        <is>
          <t>Как считается</t>
        </is>
      </c>
    </row>
    <row r="5">
      <c r="B5" s="17" t="inlineStr">
        <is>
          <t>Команда проекта</t>
        </is>
      </c>
      <c r="C5" s="12">
        <f>'Допущения'!$D$69*'Допущения'!$D$70*'Допущения'!$D$66</f>
        <v/>
      </c>
      <c r="D5" s="12">
        <f>$C5*'Допущения'!$C$92</f>
        <v/>
      </c>
      <c r="E5" s="12">
        <f>$C5*'Допущения'!$D$92</f>
        <v/>
      </c>
      <c r="F5" s="12">
        <f>$C5*'Допущения'!$E$92</f>
        <v/>
      </c>
      <c r="G5" s="12">
        <f>$C5*'Допущения'!$F$92</f>
        <v/>
      </c>
      <c r="H5" s="12">
        <f>$C5*'Допущения'!$G$92</f>
        <v/>
      </c>
      <c r="I5" s="12">
        <f>$C5*'Допущения'!$H$92</f>
        <v/>
      </c>
      <c r="J5" s="20" t="inlineStr">
        <is>
          <t>C1 FTE × C2 мес. × A22</t>
        </is>
      </c>
    </row>
    <row r="6">
      <c r="B6" s="17" t="inlineStr">
        <is>
          <t>Инфраструктура, данные, ПО</t>
        </is>
      </c>
      <c r="C6" s="19">
        <f>'Допущения'!$D$71</f>
        <v/>
      </c>
      <c r="D6" s="12">
        <f>$C6*'Допущения'!$C$93</f>
        <v/>
      </c>
      <c r="E6" s="12">
        <f>$C6*'Допущения'!$D$93</f>
        <v/>
      </c>
      <c r="F6" s="12">
        <f>$C6*'Допущения'!$E$93</f>
        <v/>
      </c>
      <c r="G6" s="12">
        <f>$C6*'Допущения'!$F$93</f>
        <v/>
      </c>
      <c r="H6" s="12">
        <f>$C6*'Допущения'!$G$93</f>
        <v/>
      </c>
      <c r="I6" s="12">
        <f>$C6*'Допущения'!$H$93</f>
        <v/>
      </c>
      <c r="J6" s="20" t="inlineStr">
        <is>
          <t>C3</t>
        </is>
      </c>
    </row>
    <row r="7">
      <c r="B7" s="17" t="inlineStr">
        <is>
          <t>Контакт-центр: обучение, скрипты, коммуникации</t>
        </is>
      </c>
      <c r="C7" s="19">
        <f>'Допущения'!$D$72</f>
        <v/>
      </c>
      <c r="D7" s="12">
        <f>$C7*'Допущения'!$C$94</f>
        <v/>
      </c>
      <c r="E7" s="12">
        <f>$C7*'Допущения'!$D$94</f>
        <v/>
      </c>
      <c r="F7" s="12">
        <f>$C7*'Допущения'!$E$94</f>
        <v/>
      </c>
      <c r="G7" s="12">
        <f>$C7*'Допущения'!$F$94</f>
        <v/>
      </c>
      <c r="H7" s="12">
        <f>$C7*'Допущения'!$G$94</f>
        <v/>
      </c>
      <c r="I7" s="12">
        <f>$C7*'Допущения'!$H$94</f>
        <v/>
      </c>
      <c r="J7" s="20" t="inlineStr">
        <is>
          <t>C4</t>
        </is>
      </c>
    </row>
    <row r="8">
      <c r="B8" s="17" t="inlineStr">
        <is>
          <t>Внешний аудит, комплаенс, ИБ</t>
        </is>
      </c>
      <c r="C8" s="19">
        <f>'Допущения'!$D$73</f>
        <v/>
      </c>
      <c r="D8" s="12">
        <f>$C8*'Допущения'!$C$95</f>
        <v/>
      </c>
      <c r="E8" s="12">
        <f>$C8*'Допущения'!$D$95</f>
        <v/>
      </c>
      <c r="F8" s="12">
        <f>$C8*'Допущения'!$E$95</f>
        <v/>
      </c>
      <c r="G8" s="12">
        <f>$C8*'Допущения'!$F$95</f>
        <v/>
      </c>
      <c r="H8" s="12">
        <f>$C8*'Допущения'!$G$95</f>
        <v/>
      </c>
      <c r="I8" s="12">
        <f>$C8*'Допущения'!$H$95</f>
        <v/>
      </c>
      <c r="J8" s="20" t="inlineStr">
        <is>
          <t>C5</t>
        </is>
      </c>
    </row>
    <row r="9">
      <c r="B9" s="18" t="inlineStr">
        <is>
          <t>Итого статей</t>
        </is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</row>
    <row r="10">
      <c r="B10" s="17" t="inlineStr">
        <is>
          <t>Резерв</t>
        </is>
      </c>
      <c r="C10" s="12">
        <f>C9*'Допущения'!$D$74</f>
        <v/>
      </c>
      <c r="D10" s="12">
        <f>D9*'Допущения'!$D$74</f>
        <v/>
      </c>
      <c r="E10" s="12">
        <f>E9*'Допущения'!$D$74</f>
        <v/>
      </c>
      <c r="F10" s="12">
        <f>F9*'Допущения'!$D$74</f>
        <v/>
      </c>
      <c r="G10" s="12">
        <f>G9*'Допущения'!$D$74</f>
        <v/>
      </c>
      <c r="H10" s="12">
        <f>H9*'Допущения'!$D$74</f>
        <v/>
      </c>
      <c r="I10" s="12">
        <f>I9*'Допущения'!$D$74</f>
        <v/>
      </c>
      <c r="J10" s="20" t="inlineStr">
        <is>
          <t>C6 × итого статей</t>
        </is>
      </c>
    </row>
    <row r="11">
      <c r="B11" s="18" t="inlineStr">
        <is>
          <t>Итого внедрение</t>
        </is>
      </c>
      <c r="C11" s="29">
        <f>C9+C10</f>
        <v/>
      </c>
      <c r="D11" s="29">
        <f>D9+D10</f>
        <v/>
      </c>
      <c r="E11" s="29">
        <f>E9+E10</f>
        <v/>
      </c>
      <c r="F11" s="29">
        <f>F9+F10</f>
        <v/>
      </c>
      <c r="G11" s="29">
        <f>G9+G10</f>
        <v/>
      </c>
      <c r="H11" s="29">
        <f>H9+H10</f>
        <v/>
      </c>
      <c r="I11" s="29">
        <f>I9+I10</f>
        <v/>
      </c>
    </row>
    <row r="12">
      <c r="B12" s="17" t="inlineStr">
        <is>
          <t>Проверка: сумма по месяцам = итого</t>
        </is>
      </c>
      <c r="C12" s="17">
        <f>IF(ABS(SUM(D11:I11)-C11)&lt;0.0001,"OK","Ошибка: проверьте доли")</f>
        <v/>
      </c>
    </row>
    <row r="14">
      <c r="A14" s="6" t="inlineStr">
        <is>
          <t>Проверка рамок кейса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B15" s="17" t="inlineStr">
        <is>
          <t>Лимит бюджета, млн руб.</t>
        </is>
      </c>
      <c r="C15" s="19">
        <f>'Допущения'!$D$9</f>
        <v/>
      </c>
    </row>
    <row r="16">
      <c r="B16" s="17" t="inlineStr">
        <is>
          <t>Запас до лимита, млн руб.</t>
        </is>
      </c>
      <c r="C16" s="12">
        <f>C15-C11</f>
        <v/>
      </c>
    </row>
    <row r="17">
      <c r="B17" s="18" t="inlineStr">
        <is>
          <t>Бюджет ≤ лимита?</t>
        </is>
      </c>
      <c r="C17" s="30">
        <f>IF(C11&lt;=C15,"Да","Нет: превышение")</f>
        <v/>
      </c>
    </row>
    <row r="18">
      <c r="B18" s="17" t="inlineStr">
        <is>
          <t>Срок проекта, мес.</t>
        </is>
      </c>
      <c r="C18" s="21">
        <f>'Допущения'!$D$70</f>
        <v/>
      </c>
    </row>
    <row r="19">
      <c r="B19" s="17" t="inlineStr">
        <is>
          <t>Лимит срока, мес.</t>
        </is>
      </c>
      <c r="C19" s="21">
        <f>'Допущения'!$D$10</f>
        <v/>
      </c>
    </row>
    <row r="20">
      <c r="B20" s="18" t="inlineStr">
        <is>
          <t>Срок ≤ лимита?</t>
        </is>
      </c>
      <c r="C20" s="30">
        <f>IF(C18&lt;=C19,"Да","Нет: превышение")</f>
        <v/>
      </c>
    </row>
    <row r="22">
      <c r="A22" s="6" t="inlineStr">
        <is>
          <t>Эксплуатация после запуска (Opex, с месяца полного эффекта T3)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B23" s="17" t="inlineStr">
        <is>
          <t>Команда эксплуатации</t>
        </is>
      </c>
      <c r="C23" s="12">
        <f>'Допущения'!$D$75*'Допущения'!$D$66*12</f>
        <v/>
      </c>
      <c r="J23" s="20" t="inlineStr">
        <is>
          <t>O1 FTE × A22 × 12</t>
        </is>
      </c>
    </row>
    <row r="24">
      <c r="B24" s="17" t="inlineStr">
        <is>
          <t>Инфраструктура в эксплуатации</t>
        </is>
      </c>
      <c r="C24" s="19">
        <f>'Допущения'!$D$76</f>
        <v/>
      </c>
    </row>
    <row r="25">
      <c r="B25" s="18" t="inlineStr">
        <is>
          <t>Итого Opex, млн руб./год</t>
        </is>
      </c>
      <c r="C25" s="29">
        <f>C23+C24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4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1" t="inlineStr">
        <is>
          <t>Эффект для банка: годовая основа и денежный поток по месяцам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Ед.</t>
        </is>
      </c>
      <c r="D4" s="5" t="inlineStr">
        <is>
          <t>Пессимист</t>
        </is>
      </c>
      <c r="E4" s="5" t="inlineStr">
        <is>
          <t>База</t>
        </is>
      </c>
      <c r="F4" s="5" t="inlineStr">
        <is>
          <t>Оптимист</t>
        </is>
      </c>
      <c r="G4" s="5" t="inlineStr">
        <is>
          <t>Комментарий</t>
        </is>
      </c>
    </row>
    <row r="5">
      <c r="B5" s="17" t="inlineStr">
        <is>
          <t>Сохраненные средства клиентов (KPI, не доход банка)</t>
        </is>
      </c>
      <c r="C5" s="17" t="inlineStr">
        <is>
          <t>млн руб./год</t>
        </is>
      </c>
      <c r="D5" s="23">
        <f>'KPI'!$E$6</f>
        <v/>
      </c>
      <c r="E5" s="23">
        <f>'KPI'!$F$6</f>
        <v/>
      </c>
      <c r="F5" s="23">
        <f>'KPI'!$G$6</f>
        <v/>
      </c>
      <c r="G5" s="20" t="inlineStr">
        <is>
          <t>только для KPI</t>
        </is>
      </c>
    </row>
    <row r="6">
      <c r="B6" s="17" t="inlineStr">
        <is>
          <t>Доля, превращающаяся в избежанный расход банка</t>
        </is>
      </c>
      <c r="C6" s="17" t="inlineStr">
        <is>
          <t>%</t>
        </is>
      </c>
      <c r="D6" s="22">
        <f>'Допущения'!$D$65</f>
        <v/>
      </c>
      <c r="E6" s="22">
        <f>'Допущения'!$D$65</f>
        <v/>
      </c>
      <c r="F6" s="22">
        <f>'Допущения'!$D$65</f>
        <v/>
      </c>
      <c r="G6" s="20" t="inlineStr">
        <is>
          <t>A21</t>
        </is>
      </c>
    </row>
    <row r="7">
      <c r="B7" s="17" t="inlineStr">
        <is>
          <t>Избежанный расход банка (возмещения, компенсации, суды)</t>
        </is>
      </c>
      <c r="C7" s="17" t="inlineStr">
        <is>
          <t>млн руб./год</t>
        </is>
      </c>
      <c r="D7" s="13">
        <f>D5*D6</f>
        <v/>
      </c>
      <c r="E7" s="13">
        <f>E5*E6</f>
        <v/>
      </c>
      <c r="F7" s="13">
        <f>F5*F6</f>
        <v/>
      </c>
      <c r="G7" s="20" t="inlineStr"/>
    </row>
    <row r="8">
      <c r="B8" s="17" t="inlineStr">
        <is>
          <t>Экономия на ошибочных ограничениях (прямая)</t>
        </is>
      </c>
      <c r="C8" s="17" t="inlineStr">
        <is>
          <t>млн руб./год</t>
        </is>
      </c>
      <c r="D8" s="23">
        <f>'Ложные срабатывания'!$E$22</f>
        <v/>
      </c>
      <c r="E8" s="23">
        <f>'Ложные срабатывания'!$F$22</f>
        <v/>
      </c>
      <c r="F8" s="23">
        <f>'Ложные срабатывания'!$G$22</f>
        <v/>
      </c>
      <c r="G8" s="20" t="inlineStr"/>
    </row>
    <row r="9">
      <c r="B9" s="17" t="inlineStr">
        <is>
          <t>Удержание клиентов</t>
        </is>
      </c>
      <c r="C9" s="17" t="inlineStr">
        <is>
          <t>млн руб./год</t>
        </is>
      </c>
      <c r="D9" s="23">
        <f>'Ложные срабатывания'!$E$23</f>
        <v/>
      </c>
      <c r="E9" s="23">
        <f>'Ложные срабатывания'!$F$23</f>
        <v/>
      </c>
      <c r="F9" s="23">
        <f>'Ложные срабатывания'!$G$23</f>
        <v/>
      </c>
      <c r="G9" s="20" t="inlineStr"/>
    </row>
    <row r="10">
      <c r="B10" s="18" t="inlineStr">
        <is>
          <t>Итого эффект для банка (валовый)</t>
        </is>
      </c>
      <c r="C10" s="17" t="inlineStr">
        <is>
          <t>млн руб./год</t>
        </is>
      </c>
      <c r="D10" s="31">
        <f>D7+D8+D9</f>
        <v/>
      </c>
      <c r="E10" s="31">
        <f>E7+E8+E9</f>
        <v/>
      </c>
      <c r="F10" s="31">
        <f>F7+F8+F9</f>
        <v/>
      </c>
      <c r="G10" s="20" t="inlineStr">
        <is>
          <t>00, разд. 4.5: ≈ 270 в базе</t>
        </is>
      </c>
    </row>
    <row r="11">
      <c r="B11" s="17" t="inlineStr">
        <is>
          <t>Затраты на эксплуатацию (Opex)</t>
        </is>
      </c>
      <c r="C11" s="17" t="inlineStr">
        <is>
          <t>млн руб./год</t>
        </is>
      </c>
      <c r="D11" s="23">
        <f>'Затраты'!$C$25</f>
        <v/>
      </c>
      <c r="E11" s="23">
        <f>'Затраты'!$C$25</f>
        <v/>
      </c>
      <c r="F11" s="23">
        <f>'Затраты'!$C$25</f>
        <v/>
      </c>
      <c r="G11" s="20" t="inlineStr"/>
    </row>
    <row r="12">
      <c r="B12" s="18" t="inlineStr">
        <is>
          <t>Чистый годовой эффект</t>
        </is>
      </c>
      <c r="C12" s="17" t="inlineStr">
        <is>
          <t>млн руб./год</t>
        </is>
      </c>
      <c r="D12" s="31">
        <f>D10-D11</f>
        <v/>
      </c>
      <c r="E12" s="31">
        <f>E10-E11</f>
        <v/>
      </c>
      <c r="F12" s="31">
        <f>F10-F11</f>
        <v/>
      </c>
      <c r="G12" s="20" t="inlineStr">
        <is>
          <t>после выхода на полный эффект</t>
        </is>
      </c>
    </row>
    <row r="13">
      <c r="B13" s="17" t="inlineStr">
        <is>
          <t>Затраты на внедрение (разово)</t>
        </is>
      </c>
      <c r="C13" s="17" t="inlineStr">
        <is>
          <t>млн руб.</t>
        </is>
      </c>
      <c r="D13" s="23">
        <f>'Затраты'!$C$11</f>
        <v/>
      </c>
      <c r="E13" s="23">
        <f>'Затраты'!$C$11</f>
        <v/>
      </c>
      <c r="F13" s="23">
        <f>'Затраты'!$C$11</f>
        <v/>
      </c>
      <c r="G13" s="20" t="inlineStr"/>
    </row>
    <row r="14">
      <c r="B14" s="17" t="inlineStr">
        <is>
          <t>Срок окупаемости от старта проекта</t>
        </is>
      </c>
      <c r="C14" s="17" t="inlineStr">
        <is>
          <t>мес.</t>
        </is>
      </c>
      <c r="D14" s="32">
        <f>IF(COUNTIF($D$32:$AM$32,"&lt;0")&gt;=COLUMNS($D$32:$AM$32),"&gt; 36",COUNTIF($D$32:$AM$32,"&lt;0")+1)</f>
        <v/>
      </c>
      <c r="E14" s="32">
        <f>IF(COUNTIF($D$35:$AM$35,"&lt;0")&gt;=COLUMNS($D$35:$AM$35),"&gt; 36",COUNTIF($D$35:$AM$35,"&lt;0")+1)</f>
        <v/>
      </c>
      <c r="F14" s="32">
        <f>IF(COUNTIF($D$38:$AM$38,"&lt;0")&gt;=COLUMNS($D$38:$AM$38),"&gt; 36",COUNTIF($D$38:$AM$38,"&lt;0")+1)</f>
        <v/>
      </c>
      <c r="G14" s="20" t="inlineStr">
        <is>
          <t>первый месяц с накопленным ≥ 0</t>
        </is>
      </c>
    </row>
    <row r="15">
      <c r="B15" s="17" t="inlineStr">
        <is>
          <t>Накопленный чистый эффект за 12 мес.</t>
        </is>
      </c>
      <c r="C15" s="17" t="inlineStr">
        <is>
          <t>млн руб.</t>
        </is>
      </c>
      <c r="D15" s="13">
        <f>INDEX($D$32:$AM$32,1,12)</f>
        <v/>
      </c>
      <c r="E15" s="13">
        <f>INDEX($D$35:$AM$35,1,12)</f>
        <v/>
      </c>
      <c r="F15" s="13">
        <f>INDEX($D$38:$AM$38,1,12)</f>
        <v/>
      </c>
      <c r="G15" s="20" t="inlineStr"/>
    </row>
    <row r="16">
      <c r="B16" s="17" t="inlineStr">
        <is>
          <t>Накопленный чистый эффект за 24 мес.</t>
        </is>
      </c>
      <c r="C16" s="17" t="inlineStr">
        <is>
          <t>млн руб.</t>
        </is>
      </c>
      <c r="D16" s="13">
        <f>INDEX($D$32:$AM$32,1,24)</f>
        <v/>
      </c>
      <c r="E16" s="13">
        <f>INDEX($D$35:$AM$35,1,24)</f>
        <v/>
      </c>
      <c r="F16" s="13">
        <f>INDEX($D$38:$AM$38,1,24)</f>
        <v/>
      </c>
      <c r="G16" s="20" t="inlineStr"/>
    </row>
    <row r="17">
      <c r="B17" s="17" t="inlineStr">
        <is>
          <t>Накопленный чистый эффект за 36 мес.</t>
        </is>
      </c>
      <c r="C17" s="17" t="inlineStr">
        <is>
          <t>млн руб.</t>
        </is>
      </c>
      <c r="D17" s="13">
        <f>INDEX($D$32:$AM$32,1,36)</f>
        <v/>
      </c>
      <c r="E17" s="13">
        <f>INDEX($D$35:$AM$35,1,36)</f>
        <v/>
      </c>
      <c r="F17" s="13">
        <f>INDEX($D$38:$AM$38,1,36)</f>
        <v/>
      </c>
      <c r="G17" s="20" t="inlineStr"/>
    </row>
    <row r="18">
      <c r="B18" s="17" t="inlineStr">
        <is>
          <t>NPV за 36 мес.</t>
        </is>
      </c>
      <c r="C18" s="17" t="inlineStr">
        <is>
          <t>млн руб.</t>
        </is>
      </c>
      <c r="D18" s="13">
        <f>NPV((1+'Допущения'!$D$67)^(1/12)-1,$D$31:$AM$31)</f>
        <v/>
      </c>
      <c r="E18" s="13">
        <f>NPV((1+'Допущения'!$D$67)^(1/12)-1,$D$34:$AM$34)</f>
        <v/>
      </c>
      <c r="F18" s="13">
        <f>NPV((1+'Допущения'!$D$67)^(1/12)-1,$D$37:$AM$37)</f>
        <v/>
      </c>
      <c r="G18" s="20" t="inlineStr">
        <is>
          <t>ставка A23, помесячно</t>
        </is>
      </c>
    </row>
    <row r="24">
      <c r="A24" s="6" t="inlineStr">
        <is>
          <t>Денежный поток по месяцам от старта проекта (М1-М6 внедрение, М5-М6 пилот, с М7 полный эффект)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</row>
    <row r="25">
      <c r="A25" s="5" t="inlineStr"/>
      <c r="B25" s="5" t="inlineStr">
        <is>
          <t>Показатель</t>
        </is>
      </c>
      <c r="C25" s="5" t="inlineStr">
        <is>
          <t>Ед.</t>
        </is>
      </c>
      <c r="D25" s="5" t="inlineStr">
        <is>
          <t>М1</t>
        </is>
      </c>
      <c r="E25" s="5" t="inlineStr">
        <is>
          <t>М2</t>
        </is>
      </c>
      <c r="F25" s="5" t="inlineStr">
        <is>
          <t>М3</t>
        </is>
      </c>
      <c r="G25" s="5" t="inlineStr">
        <is>
          <t>М4</t>
        </is>
      </c>
      <c r="H25" s="5" t="inlineStr">
        <is>
          <t>М5</t>
        </is>
      </c>
      <c r="I25" s="5" t="inlineStr">
        <is>
          <t>М6</t>
        </is>
      </c>
      <c r="J25" s="5" t="inlineStr">
        <is>
          <t>М7</t>
        </is>
      </c>
      <c r="K25" s="5" t="inlineStr">
        <is>
          <t>М8</t>
        </is>
      </c>
      <c r="L25" s="5" t="inlineStr">
        <is>
          <t>М9</t>
        </is>
      </c>
      <c r="M25" s="5" t="inlineStr">
        <is>
          <t>М10</t>
        </is>
      </c>
      <c r="N25" s="5" t="inlineStr">
        <is>
          <t>М11</t>
        </is>
      </c>
      <c r="O25" s="5" t="inlineStr">
        <is>
          <t>М12</t>
        </is>
      </c>
      <c r="P25" s="5" t="inlineStr">
        <is>
          <t>М13</t>
        </is>
      </c>
      <c r="Q25" s="5" t="inlineStr">
        <is>
          <t>М14</t>
        </is>
      </c>
      <c r="R25" s="5" t="inlineStr">
        <is>
          <t>М15</t>
        </is>
      </c>
      <c r="S25" s="5" t="inlineStr">
        <is>
          <t>М16</t>
        </is>
      </c>
      <c r="T25" s="5" t="inlineStr">
        <is>
          <t>М17</t>
        </is>
      </c>
      <c r="U25" s="5" t="inlineStr">
        <is>
          <t>М18</t>
        </is>
      </c>
      <c r="V25" s="5" t="inlineStr">
        <is>
          <t>М19</t>
        </is>
      </c>
      <c r="W25" s="5" t="inlineStr">
        <is>
          <t>М20</t>
        </is>
      </c>
      <c r="X25" s="5" t="inlineStr">
        <is>
          <t>М21</t>
        </is>
      </c>
      <c r="Y25" s="5" t="inlineStr">
        <is>
          <t>М22</t>
        </is>
      </c>
      <c r="Z25" s="5" t="inlineStr">
        <is>
          <t>М23</t>
        </is>
      </c>
      <c r="AA25" s="5" t="inlineStr">
        <is>
          <t>М24</t>
        </is>
      </c>
      <c r="AB25" s="5" t="inlineStr">
        <is>
          <t>М25</t>
        </is>
      </c>
      <c r="AC25" s="5" t="inlineStr">
        <is>
          <t>М26</t>
        </is>
      </c>
      <c r="AD25" s="5" t="inlineStr">
        <is>
          <t>М27</t>
        </is>
      </c>
      <c r="AE25" s="5" t="inlineStr">
        <is>
          <t>М28</t>
        </is>
      </c>
      <c r="AF25" s="5" t="inlineStr">
        <is>
          <t>М29</t>
        </is>
      </c>
      <c r="AG25" s="5" t="inlineStr">
        <is>
          <t>М30</t>
        </is>
      </c>
      <c r="AH25" s="5" t="inlineStr">
        <is>
          <t>М31</t>
        </is>
      </c>
      <c r="AI25" s="5" t="inlineStr">
        <is>
          <t>М32</t>
        </is>
      </c>
      <c r="AJ25" s="5" t="inlineStr">
        <is>
          <t>М33</t>
        </is>
      </c>
      <c r="AK25" s="5" t="inlineStr">
        <is>
          <t>М34</t>
        </is>
      </c>
      <c r="AL25" s="5" t="inlineStr">
        <is>
          <t>М35</t>
        </is>
      </c>
      <c r="AM25" s="5" t="inlineStr">
        <is>
          <t>М36</t>
        </is>
      </c>
    </row>
    <row r="26">
      <c r="B26" s="17" t="inlineStr">
        <is>
          <t>Номер месяца</t>
        </is>
      </c>
      <c r="D26" s="16" t="n">
        <v>1</v>
      </c>
      <c r="E26" s="16" t="n">
        <v>2</v>
      </c>
      <c r="F26" s="16" t="n">
        <v>3</v>
      </c>
      <c r="G26" s="16" t="n">
        <v>4</v>
      </c>
      <c r="H26" s="16" t="n">
        <v>5</v>
      </c>
      <c r="I26" s="16" t="n">
        <v>6</v>
      </c>
      <c r="J26" s="16" t="n">
        <v>7</v>
      </c>
      <c r="K26" s="16" t="n">
        <v>8</v>
      </c>
      <c r="L26" s="16" t="n">
        <v>9</v>
      </c>
      <c r="M26" s="16" t="n">
        <v>10</v>
      </c>
      <c r="N26" s="16" t="n">
        <v>11</v>
      </c>
      <c r="O26" s="16" t="n">
        <v>12</v>
      </c>
      <c r="P26" s="16" t="n">
        <v>13</v>
      </c>
      <c r="Q26" s="16" t="n">
        <v>14</v>
      </c>
      <c r="R26" s="16" t="n">
        <v>15</v>
      </c>
      <c r="S26" s="16" t="n">
        <v>16</v>
      </c>
      <c r="T26" s="16" t="n">
        <v>17</v>
      </c>
      <c r="U26" s="16" t="n">
        <v>18</v>
      </c>
      <c r="V26" s="16" t="n">
        <v>19</v>
      </c>
      <c r="W26" s="16" t="n">
        <v>20</v>
      </c>
      <c r="X26" s="16" t="n">
        <v>21</v>
      </c>
      <c r="Y26" s="16" t="n">
        <v>22</v>
      </c>
      <c r="Z26" s="16" t="n">
        <v>23</v>
      </c>
      <c r="AA26" s="16" t="n">
        <v>24</v>
      </c>
      <c r="AB26" s="16" t="n">
        <v>25</v>
      </c>
      <c r="AC26" s="16" t="n">
        <v>26</v>
      </c>
      <c r="AD26" s="16" t="n">
        <v>27</v>
      </c>
      <c r="AE26" s="16" t="n">
        <v>28</v>
      </c>
      <c r="AF26" s="16" t="n">
        <v>29</v>
      </c>
      <c r="AG26" s="16" t="n">
        <v>30</v>
      </c>
      <c r="AH26" s="16" t="n">
        <v>31</v>
      </c>
      <c r="AI26" s="16" t="n">
        <v>32</v>
      </c>
      <c r="AJ26" s="16" t="n">
        <v>33</v>
      </c>
      <c r="AK26" s="16" t="n">
        <v>34</v>
      </c>
      <c r="AL26" s="16" t="n">
        <v>35</v>
      </c>
      <c r="AM26" s="16" t="n">
        <v>36</v>
      </c>
    </row>
    <row r="27">
      <c r="B27" s="17" t="inlineStr">
        <is>
          <t>Доля эффекта (пилот / полный)</t>
        </is>
      </c>
      <c r="C27" s="17" t="inlineStr">
        <is>
          <t>%</t>
        </is>
      </c>
      <c r="D27" s="14">
        <f>IF(D$26&gt;='Допущения'!$D$79,1,IF(D$26&gt;='Допущения'!$D$77,'Допущения'!$D$78,0))</f>
        <v/>
      </c>
      <c r="E27" s="14">
        <f>IF(E$26&gt;='Допущения'!$D$79,1,IF(E$26&gt;='Допущения'!$D$77,'Допущения'!$D$78,0))</f>
        <v/>
      </c>
      <c r="F27" s="14">
        <f>IF(F$26&gt;='Допущения'!$D$79,1,IF(F$26&gt;='Допущения'!$D$77,'Допущения'!$D$78,0))</f>
        <v/>
      </c>
      <c r="G27" s="14">
        <f>IF(G$26&gt;='Допущения'!$D$79,1,IF(G$26&gt;='Допущения'!$D$77,'Допущения'!$D$78,0))</f>
        <v/>
      </c>
      <c r="H27" s="14">
        <f>IF(H$26&gt;='Допущения'!$D$79,1,IF(H$26&gt;='Допущения'!$D$77,'Допущения'!$D$78,0))</f>
        <v/>
      </c>
      <c r="I27" s="14">
        <f>IF(I$26&gt;='Допущения'!$D$79,1,IF(I$26&gt;='Допущения'!$D$77,'Допущения'!$D$78,0))</f>
        <v/>
      </c>
      <c r="J27" s="14">
        <f>IF(J$26&gt;='Допущения'!$D$79,1,IF(J$26&gt;='Допущения'!$D$77,'Допущения'!$D$78,0))</f>
        <v/>
      </c>
      <c r="K27" s="14">
        <f>IF(K$26&gt;='Допущения'!$D$79,1,IF(K$26&gt;='Допущения'!$D$77,'Допущения'!$D$78,0))</f>
        <v/>
      </c>
      <c r="L27" s="14">
        <f>IF(L$26&gt;='Допущения'!$D$79,1,IF(L$26&gt;='Допущения'!$D$77,'Допущения'!$D$78,0))</f>
        <v/>
      </c>
      <c r="M27" s="14">
        <f>IF(M$26&gt;='Допущения'!$D$79,1,IF(M$26&gt;='Допущения'!$D$77,'Допущения'!$D$78,0))</f>
        <v/>
      </c>
      <c r="N27" s="14">
        <f>IF(N$26&gt;='Допущения'!$D$79,1,IF(N$26&gt;='Допущения'!$D$77,'Допущения'!$D$78,0))</f>
        <v/>
      </c>
      <c r="O27" s="14">
        <f>IF(O$26&gt;='Допущения'!$D$79,1,IF(O$26&gt;='Допущения'!$D$77,'Допущения'!$D$78,0))</f>
        <v/>
      </c>
      <c r="P27" s="14">
        <f>IF(P$26&gt;='Допущения'!$D$79,1,IF(P$26&gt;='Допущения'!$D$77,'Допущения'!$D$78,0))</f>
        <v/>
      </c>
      <c r="Q27" s="14">
        <f>IF(Q$26&gt;='Допущения'!$D$79,1,IF(Q$26&gt;='Допущения'!$D$77,'Допущения'!$D$78,0))</f>
        <v/>
      </c>
      <c r="R27" s="14">
        <f>IF(R$26&gt;='Допущения'!$D$79,1,IF(R$26&gt;='Допущения'!$D$77,'Допущения'!$D$78,0))</f>
        <v/>
      </c>
      <c r="S27" s="14">
        <f>IF(S$26&gt;='Допущения'!$D$79,1,IF(S$26&gt;='Допущения'!$D$77,'Допущения'!$D$78,0))</f>
        <v/>
      </c>
      <c r="T27" s="14">
        <f>IF(T$26&gt;='Допущения'!$D$79,1,IF(T$26&gt;='Допущения'!$D$77,'Допущения'!$D$78,0))</f>
        <v/>
      </c>
      <c r="U27" s="14">
        <f>IF(U$26&gt;='Допущения'!$D$79,1,IF(U$26&gt;='Допущения'!$D$77,'Допущения'!$D$78,0))</f>
        <v/>
      </c>
      <c r="V27" s="14">
        <f>IF(V$26&gt;='Допущения'!$D$79,1,IF(V$26&gt;='Допущения'!$D$77,'Допущения'!$D$78,0))</f>
        <v/>
      </c>
      <c r="W27" s="14">
        <f>IF(W$26&gt;='Допущения'!$D$79,1,IF(W$26&gt;='Допущения'!$D$77,'Допущения'!$D$78,0))</f>
        <v/>
      </c>
      <c r="X27" s="14">
        <f>IF(X$26&gt;='Допущения'!$D$79,1,IF(X$26&gt;='Допущения'!$D$77,'Допущения'!$D$78,0))</f>
        <v/>
      </c>
      <c r="Y27" s="14">
        <f>IF(Y$26&gt;='Допущения'!$D$79,1,IF(Y$26&gt;='Допущения'!$D$77,'Допущения'!$D$78,0))</f>
        <v/>
      </c>
      <c r="Z27" s="14">
        <f>IF(Z$26&gt;='Допущения'!$D$79,1,IF(Z$26&gt;='Допущения'!$D$77,'Допущения'!$D$78,0))</f>
        <v/>
      </c>
      <c r="AA27" s="14">
        <f>IF(AA$26&gt;='Допущения'!$D$79,1,IF(AA$26&gt;='Допущения'!$D$77,'Допущения'!$D$78,0))</f>
        <v/>
      </c>
      <c r="AB27" s="14">
        <f>IF(AB$26&gt;='Допущения'!$D$79,1,IF(AB$26&gt;='Допущения'!$D$77,'Допущения'!$D$78,0))</f>
        <v/>
      </c>
      <c r="AC27" s="14">
        <f>IF(AC$26&gt;='Допущения'!$D$79,1,IF(AC$26&gt;='Допущения'!$D$77,'Допущения'!$D$78,0))</f>
        <v/>
      </c>
      <c r="AD27" s="14">
        <f>IF(AD$26&gt;='Допущения'!$D$79,1,IF(AD$26&gt;='Допущения'!$D$77,'Допущения'!$D$78,0))</f>
        <v/>
      </c>
      <c r="AE27" s="14">
        <f>IF(AE$26&gt;='Допущения'!$D$79,1,IF(AE$26&gt;='Допущения'!$D$77,'Допущения'!$D$78,0))</f>
        <v/>
      </c>
      <c r="AF27" s="14">
        <f>IF(AF$26&gt;='Допущения'!$D$79,1,IF(AF$26&gt;='Допущения'!$D$77,'Допущения'!$D$78,0))</f>
        <v/>
      </c>
      <c r="AG27" s="14">
        <f>IF(AG$26&gt;='Допущения'!$D$79,1,IF(AG$26&gt;='Допущения'!$D$77,'Допущения'!$D$78,0))</f>
        <v/>
      </c>
      <c r="AH27" s="14">
        <f>IF(AH$26&gt;='Допущения'!$D$79,1,IF(AH$26&gt;='Допущения'!$D$77,'Допущения'!$D$78,0))</f>
        <v/>
      </c>
      <c r="AI27" s="14">
        <f>IF(AI$26&gt;='Допущения'!$D$79,1,IF(AI$26&gt;='Допущения'!$D$77,'Допущения'!$D$78,0))</f>
        <v/>
      </c>
      <c r="AJ27" s="14">
        <f>IF(AJ$26&gt;='Допущения'!$D$79,1,IF(AJ$26&gt;='Допущения'!$D$77,'Допущения'!$D$78,0))</f>
        <v/>
      </c>
      <c r="AK27" s="14">
        <f>IF(AK$26&gt;='Допущения'!$D$79,1,IF(AK$26&gt;='Допущения'!$D$77,'Допущения'!$D$78,0))</f>
        <v/>
      </c>
      <c r="AL27" s="14">
        <f>IF(AL$26&gt;='Допущения'!$D$79,1,IF(AL$26&gt;='Допущения'!$D$77,'Допущения'!$D$78,0))</f>
        <v/>
      </c>
      <c r="AM27" s="14">
        <f>IF(AM$26&gt;='Допущения'!$D$79,1,IF(AM$26&gt;='Допущения'!$D$77,'Допущения'!$D$78,0))</f>
        <v/>
      </c>
    </row>
    <row r="28">
      <c r="B28" s="17" t="inlineStr">
        <is>
          <t>Затраты на внедрение</t>
        </is>
      </c>
      <c r="C28" s="17" t="inlineStr">
        <is>
          <t>млн руб.</t>
        </is>
      </c>
      <c r="D28" s="12">
        <f>IF(D$26&lt;=COLUMNS('Затраты'!$D$11:$I$11),INDEX('Затраты'!$D$11:$I$11,1,D$26),0)</f>
        <v/>
      </c>
      <c r="E28" s="12">
        <f>IF(E$26&lt;=COLUMNS('Затраты'!$D$11:$I$11),INDEX('Затраты'!$D$11:$I$11,1,E$26),0)</f>
        <v/>
      </c>
      <c r="F28" s="12">
        <f>IF(F$26&lt;=COLUMNS('Затраты'!$D$11:$I$11),INDEX('Затраты'!$D$11:$I$11,1,F$26),0)</f>
        <v/>
      </c>
      <c r="G28" s="12">
        <f>IF(G$26&lt;=COLUMNS('Затраты'!$D$11:$I$11),INDEX('Затраты'!$D$11:$I$11,1,G$26),0)</f>
        <v/>
      </c>
      <c r="H28" s="12">
        <f>IF(H$26&lt;=COLUMNS('Затраты'!$D$11:$I$11),INDEX('Затраты'!$D$11:$I$11,1,H$26),0)</f>
        <v/>
      </c>
      <c r="I28" s="12">
        <f>IF(I$26&lt;=COLUMNS('Затраты'!$D$11:$I$11),INDEX('Затраты'!$D$11:$I$11,1,I$26),0)</f>
        <v/>
      </c>
      <c r="J28" s="12">
        <f>IF(J$26&lt;=COLUMNS('Затраты'!$D$11:$I$11),INDEX('Затраты'!$D$11:$I$11,1,J$26),0)</f>
        <v/>
      </c>
      <c r="K28" s="12">
        <f>IF(K$26&lt;=COLUMNS('Затраты'!$D$11:$I$11),INDEX('Затраты'!$D$11:$I$11,1,K$26),0)</f>
        <v/>
      </c>
      <c r="L28" s="12">
        <f>IF(L$26&lt;=COLUMNS('Затраты'!$D$11:$I$11),INDEX('Затраты'!$D$11:$I$11,1,L$26),0)</f>
        <v/>
      </c>
      <c r="M28" s="12">
        <f>IF(M$26&lt;=COLUMNS('Затраты'!$D$11:$I$11),INDEX('Затраты'!$D$11:$I$11,1,M$26),0)</f>
        <v/>
      </c>
      <c r="N28" s="12">
        <f>IF(N$26&lt;=COLUMNS('Затраты'!$D$11:$I$11),INDEX('Затраты'!$D$11:$I$11,1,N$26),0)</f>
        <v/>
      </c>
      <c r="O28" s="12">
        <f>IF(O$26&lt;=COLUMNS('Затраты'!$D$11:$I$11),INDEX('Затраты'!$D$11:$I$11,1,O$26),0)</f>
        <v/>
      </c>
      <c r="P28" s="12">
        <f>IF(P$26&lt;=COLUMNS('Затраты'!$D$11:$I$11),INDEX('Затраты'!$D$11:$I$11,1,P$26),0)</f>
        <v/>
      </c>
      <c r="Q28" s="12">
        <f>IF(Q$26&lt;=COLUMNS('Затраты'!$D$11:$I$11),INDEX('Затраты'!$D$11:$I$11,1,Q$26),0)</f>
        <v/>
      </c>
      <c r="R28" s="12">
        <f>IF(R$26&lt;=COLUMNS('Затраты'!$D$11:$I$11),INDEX('Затраты'!$D$11:$I$11,1,R$26),0)</f>
        <v/>
      </c>
      <c r="S28" s="12">
        <f>IF(S$26&lt;=COLUMNS('Затраты'!$D$11:$I$11),INDEX('Затраты'!$D$11:$I$11,1,S$26),0)</f>
        <v/>
      </c>
      <c r="T28" s="12">
        <f>IF(T$26&lt;=COLUMNS('Затраты'!$D$11:$I$11),INDEX('Затраты'!$D$11:$I$11,1,T$26),0)</f>
        <v/>
      </c>
      <c r="U28" s="12">
        <f>IF(U$26&lt;=COLUMNS('Затраты'!$D$11:$I$11),INDEX('Затраты'!$D$11:$I$11,1,U$26),0)</f>
        <v/>
      </c>
      <c r="V28" s="12">
        <f>IF(V$26&lt;=COLUMNS('Затраты'!$D$11:$I$11),INDEX('Затраты'!$D$11:$I$11,1,V$26),0)</f>
        <v/>
      </c>
      <c r="W28" s="12">
        <f>IF(W$26&lt;=COLUMNS('Затраты'!$D$11:$I$11),INDEX('Затраты'!$D$11:$I$11,1,W$26),0)</f>
        <v/>
      </c>
      <c r="X28" s="12">
        <f>IF(X$26&lt;=COLUMNS('Затраты'!$D$11:$I$11),INDEX('Затраты'!$D$11:$I$11,1,X$26),0)</f>
        <v/>
      </c>
      <c r="Y28" s="12">
        <f>IF(Y$26&lt;=COLUMNS('Затраты'!$D$11:$I$11),INDEX('Затраты'!$D$11:$I$11,1,Y$26),0)</f>
        <v/>
      </c>
      <c r="Z28" s="12">
        <f>IF(Z$26&lt;=COLUMNS('Затраты'!$D$11:$I$11),INDEX('Затраты'!$D$11:$I$11,1,Z$26),0)</f>
        <v/>
      </c>
      <c r="AA28" s="12">
        <f>IF(AA$26&lt;=COLUMNS('Затраты'!$D$11:$I$11),INDEX('Затраты'!$D$11:$I$11,1,AA$26),0)</f>
        <v/>
      </c>
      <c r="AB28" s="12">
        <f>IF(AB$26&lt;=COLUMNS('Затраты'!$D$11:$I$11),INDEX('Затраты'!$D$11:$I$11,1,AB$26),0)</f>
        <v/>
      </c>
      <c r="AC28" s="12">
        <f>IF(AC$26&lt;=COLUMNS('Затраты'!$D$11:$I$11),INDEX('Затраты'!$D$11:$I$11,1,AC$26),0)</f>
        <v/>
      </c>
      <c r="AD28" s="12">
        <f>IF(AD$26&lt;=COLUMNS('Затраты'!$D$11:$I$11),INDEX('Затраты'!$D$11:$I$11,1,AD$26),0)</f>
        <v/>
      </c>
      <c r="AE28" s="12">
        <f>IF(AE$26&lt;=COLUMNS('Затраты'!$D$11:$I$11),INDEX('Затраты'!$D$11:$I$11,1,AE$26),0)</f>
        <v/>
      </c>
      <c r="AF28" s="12">
        <f>IF(AF$26&lt;=COLUMNS('Затраты'!$D$11:$I$11),INDEX('Затраты'!$D$11:$I$11,1,AF$26),0)</f>
        <v/>
      </c>
      <c r="AG28" s="12">
        <f>IF(AG$26&lt;=COLUMNS('Затраты'!$D$11:$I$11),INDEX('Затраты'!$D$11:$I$11,1,AG$26),0)</f>
        <v/>
      </c>
      <c r="AH28" s="12">
        <f>IF(AH$26&lt;=COLUMNS('Затраты'!$D$11:$I$11),INDEX('Затраты'!$D$11:$I$11,1,AH$26),0)</f>
        <v/>
      </c>
      <c r="AI28" s="12">
        <f>IF(AI$26&lt;=COLUMNS('Затраты'!$D$11:$I$11),INDEX('Затраты'!$D$11:$I$11,1,AI$26),0)</f>
        <v/>
      </c>
      <c r="AJ28" s="12">
        <f>IF(AJ$26&lt;=COLUMNS('Затраты'!$D$11:$I$11),INDEX('Затраты'!$D$11:$I$11,1,AJ$26),0)</f>
        <v/>
      </c>
      <c r="AK28" s="12">
        <f>IF(AK$26&lt;=COLUMNS('Затраты'!$D$11:$I$11),INDEX('Затраты'!$D$11:$I$11,1,AK$26),0)</f>
        <v/>
      </c>
      <c r="AL28" s="12">
        <f>IF(AL$26&lt;=COLUMNS('Затраты'!$D$11:$I$11),INDEX('Затраты'!$D$11:$I$11,1,AL$26),0)</f>
        <v/>
      </c>
      <c r="AM28" s="12">
        <f>IF(AM$26&lt;=COLUMNS('Затраты'!$D$11:$I$11),INDEX('Затраты'!$D$11:$I$11,1,AM$26),0)</f>
        <v/>
      </c>
    </row>
    <row r="29">
      <c r="B29" s="17" t="inlineStr">
        <is>
          <t>Затраты на эксплуатацию</t>
        </is>
      </c>
      <c r="C29" s="17" t="inlineStr">
        <is>
          <t>млн руб.</t>
        </is>
      </c>
      <c r="D29" s="12">
        <f>IF(D$26&gt;='Допущения'!$D$79,'Затраты'!$C$25/12,0)</f>
        <v/>
      </c>
      <c r="E29" s="12">
        <f>IF(E$26&gt;='Допущения'!$D$79,'Затраты'!$C$25/12,0)</f>
        <v/>
      </c>
      <c r="F29" s="12">
        <f>IF(F$26&gt;='Допущения'!$D$79,'Затраты'!$C$25/12,0)</f>
        <v/>
      </c>
      <c r="G29" s="12">
        <f>IF(G$26&gt;='Допущения'!$D$79,'Затраты'!$C$25/12,0)</f>
        <v/>
      </c>
      <c r="H29" s="12">
        <f>IF(H$26&gt;='Допущения'!$D$79,'Затраты'!$C$25/12,0)</f>
        <v/>
      </c>
      <c r="I29" s="12">
        <f>IF(I$26&gt;='Допущения'!$D$79,'Затраты'!$C$25/12,0)</f>
        <v/>
      </c>
      <c r="J29" s="12">
        <f>IF(J$26&gt;='Допущения'!$D$79,'Затраты'!$C$25/12,0)</f>
        <v/>
      </c>
      <c r="K29" s="12">
        <f>IF(K$26&gt;='Допущения'!$D$79,'Затраты'!$C$25/12,0)</f>
        <v/>
      </c>
      <c r="L29" s="12">
        <f>IF(L$26&gt;='Допущения'!$D$79,'Затраты'!$C$25/12,0)</f>
        <v/>
      </c>
      <c r="M29" s="12">
        <f>IF(M$26&gt;='Допущения'!$D$79,'Затраты'!$C$25/12,0)</f>
        <v/>
      </c>
      <c r="N29" s="12">
        <f>IF(N$26&gt;='Допущения'!$D$79,'Затраты'!$C$25/12,0)</f>
        <v/>
      </c>
      <c r="O29" s="12">
        <f>IF(O$26&gt;='Допущения'!$D$79,'Затраты'!$C$25/12,0)</f>
        <v/>
      </c>
      <c r="P29" s="12">
        <f>IF(P$26&gt;='Допущения'!$D$79,'Затраты'!$C$25/12,0)</f>
        <v/>
      </c>
      <c r="Q29" s="12">
        <f>IF(Q$26&gt;='Допущения'!$D$79,'Затраты'!$C$25/12,0)</f>
        <v/>
      </c>
      <c r="R29" s="12">
        <f>IF(R$26&gt;='Допущения'!$D$79,'Затраты'!$C$25/12,0)</f>
        <v/>
      </c>
      <c r="S29" s="12">
        <f>IF(S$26&gt;='Допущения'!$D$79,'Затраты'!$C$25/12,0)</f>
        <v/>
      </c>
      <c r="T29" s="12">
        <f>IF(T$26&gt;='Допущения'!$D$79,'Затраты'!$C$25/12,0)</f>
        <v/>
      </c>
      <c r="U29" s="12">
        <f>IF(U$26&gt;='Допущения'!$D$79,'Затраты'!$C$25/12,0)</f>
        <v/>
      </c>
      <c r="V29" s="12">
        <f>IF(V$26&gt;='Допущения'!$D$79,'Затраты'!$C$25/12,0)</f>
        <v/>
      </c>
      <c r="W29" s="12">
        <f>IF(W$26&gt;='Допущения'!$D$79,'Затраты'!$C$25/12,0)</f>
        <v/>
      </c>
      <c r="X29" s="12">
        <f>IF(X$26&gt;='Допущения'!$D$79,'Затраты'!$C$25/12,0)</f>
        <v/>
      </c>
      <c r="Y29" s="12">
        <f>IF(Y$26&gt;='Допущения'!$D$79,'Затраты'!$C$25/12,0)</f>
        <v/>
      </c>
      <c r="Z29" s="12">
        <f>IF(Z$26&gt;='Допущения'!$D$79,'Затраты'!$C$25/12,0)</f>
        <v/>
      </c>
      <c r="AA29" s="12">
        <f>IF(AA$26&gt;='Допущения'!$D$79,'Затраты'!$C$25/12,0)</f>
        <v/>
      </c>
      <c r="AB29" s="12">
        <f>IF(AB$26&gt;='Допущения'!$D$79,'Затраты'!$C$25/12,0)</f>
        <v/>
      </c>
      <c r="AC29" s="12">
        <f>IF(AC$26&gt;='Допущения'!$D$79,'Затраты'!$C$25/12,0)</f>
        <v/>
      </c>
      <c r="AD29" s="12">
        <f>IF(AD$26&gt;='Допущения'!$D$79,'Затраты'!$C$25/12,0)</f>
        <v/>
      </c>
      <c r="AE29" s="12">
        <f>IF(AE$26&gt;='Допущения'!$D$79,'Затраты'!$C$25/12,0)</f>
        <v/>
      </c>
      <c r="AF29" s="12">
        <f>IF(AF$26&gt;='Допущения'!$D$79,'Затраты'!$C$25/12,0)</f>
        <v/>
      </c>
      <c r="AG29" s="12">
        <f>IF(AG$26&gt;='Допущения'!$D$79,'Затраты'!$C$25/12,0)</f>
        <v/>
      </c>
      <c r="AH29" s="12">
        <f>IF(AH$26&gt;='Допущения'!$D$79,'Затраты'!$C$25/12,0)</f>
        <v/>
      </c>
      <c r="AI29" s="12">
        <f>IF(AI$26&gt;='Допущения'!$D$79,'Затраты'!$C$25/12,0)</f>
        <v/>
      </c>
      <c r="AJ29" s="12">
        <f>IF(AJ$26&gt;='Допущения'!$D$79,'Затраты'!$C$25/12,0)</f>
        <v/>
      </c>
      <c r="AK29" s="12">
        <f>IF(AK$26&gt;='Допущения'!$D$79,'Затраты'!$C$25/12,0)</f>
        <v/>
      </c>
      <c r="AL29" s="12">
        <f>IF(AL$26&gt;='Допущения'!$D$79,'Затраты'!$C$25/12,0)</f>
        <v/>
      </c>
      <c r="AM29" s="12">
        <f>IF(AM$26&gt;='Допущения'!$D$79,'Затраты'!$C$25/12,0)</f>
        <v/>
      </c>
    </row>
    <row r="30">
      <c r="B30" s="18" t="inlineStr">
        <is>
          <t>Пессимист: валовый эффект</t>
        </is>
      </c>
      <c r="C30" s="17" t="inlineStr">
        <is>
          <t>млн руб.</t>
        </is>
      </c>
      <c r="D30" s="12">
        <f>$D$10/12*D$27</f>
        <v/>
      </c>
      <c r="E30" s="12">
        <f>$D$10/12*E$27</f>
        <v/>
      </c>
      <c r="F30" s="12">
        <f>$D$10/12*F$27</f>
        <v/>
      </c>
      <c r="G30" s="12">
        <f>$D$10/12*G$27</f>
        <v/>
      </c>
      <c r="H30" s="12">
        <f>$D$10/12*H$27</f>
        <v/>
      </c>
      <c r="I30" s="12">
        <f>$D$10/12*I$27</f>
        <v/>
      </c>
      <c r="J30" s="12">
        <f>$D$10/12*J$27</f>
        <v/>
      </c>
      <c r="K30" s="12">
        <f>$D$10/12*K$27</f>
        <v/>
      </c>
      <c r="L30" s="12">
        <f>$D$10/12*L$27</f>
        <v/>
      </c>
      <c r="M30" s="12">
        <f>$D$10/12*M$27</f>
        <v/>
      </c>
      <c r="N30" s="12">
        <f>$D$10/12*N$27</f>
        <v/>
      </c>
      <c r="O30" s="12">
        <f>$D$10/12*O$27</f>
        <v/>
      </c>
      <c r="P30" s="12">
        <f>$D$10/12*P$27</f>
        <v/>
      </c>
      <c r="Q30" s="12">
        <f>$D$10/12*Q$27</f>
        <v/>
      </c>
      <c r="R30" s="12">
        <f>$D$10/12*R$27</f>
        <v/>
      </c>
      <c r="S30" s="12">
        <f>$D$10/12*S$27</f>
        <v/>
      </c>
      <c r="T30" s="12">
        <f>$D$10/12*T$27</f>
        <v/>
      </c>
      <c r="U30" s="12">
        <f>$D$10/12*U$27</f>
        <v/>
      </c>
      <c r="V30" s="12">
        <f>$D$10/12*V$27</f>
        <v/>
      </c>
      <c r="W30" s="12">
        <f>$D$10/12*W$27</f>
        <v/>
      </c>
      <c r="X30" s="12">
        <f>$D$10/12*X$27</f>
        <v/>
      </c>
      <c r="Y30" s="12">
        <f>$D$10/12*Y$27</f>
        <v/>
      </c>
      <c r="Z30" s="12">
        <f>$D$10/12*Z$27</f>
        <v/>
      </c>
      <c r="AA30" s="12">
        <f>$D$10/12*AA$27</f>
        <v/>
      </c>
      <c r="AB30" s="12">
        <f>$D$10/12*AB$27</f>
        <v/>
      </c>
      <c r="AC30" s="12">
        <f>$D$10/12*AC$27</f>
        <v/>
      </c>
      <c r="AD30" s="12">
        <f>$D$10/12*AD$27</f>
        <v/>
      </c>
      <c r="AE30" s="12">
        <f>$D$10/12*AE$27</f>
        <v/>
      </c>
      <c r="AF30" s="12">
        <f>$D$10/12*AF$27</f>
        <v/>
      </c>
      <c r="AG30" s="12">
        <f>$D$10/12*AG$27</f>
        <v/>
      </c>
      <c r="AH30" s="12">
        <f>$D$10/12*AH$27</f>
        <v/>
      </c>
      <c r="AI30" s="12">
        <f>$D$10/12*AI$27</f>
        <v/>
      </c>
      <c r="AJ30" s="12">
        <f>$D$10/12*AJ$27</f>
        <v/>
      </c>
      <c r="AK30" s="12">
        <f>$D$10/12*AK$27</f>
        <v/>
      </c>
      <c r="AL30" s="12">
        <f>$D$10/12*AL$27</f>
        <v/>
      </c>
      <c r="AM30" s="12">
        <f>$D$10/12*AM$27</f>
        <v/>
      </c>
    </row>
    <row r="31">
      <c r="B31" s="17" t="inlineStr">
        <is>
          <t>Пессимист: чистый поток</t>
        </is>
      </c>
      <c r="C31" s="17" t="inlineStr">
        <is>
          <t>млн руб.</t>
        </is>
      </c>
      <c r="D31" s="12">
        <f>D30-D$28-D$29</f>
        <v/>
      </c>
      <c r="E31" s="12">
        <f>E30-E$28-E$29</f>
        <v/>
      </c>
      <c r="F31" s="12">
        <f>F30-F$28-F$29</f>
        <v/>
      </c>
      <c r="G31" s="12">
        <f>G30-G$28-G$29</f>
        <v/>
      </c>
      <c r="H31" s="12">
        <f>H30-H$28-H$29</f>
        <v/>
      </c>
      <c r="I31" s="12">
        <f>I30-I$28-I$29</f>
        <v/>
      </c>
      <c r="J31" s="12">
        <f>J30-J$28-J$29</f>
        <v/>
      </c>
      <c r="K31" s="12">
        <f>K30-K$28-K$29</f>
        <v/>
      </c>
      <c r="L31" s="12">
        <f>L30-L$28-L$29</f>
        <v/>
      </c>
      <c r="M31" s="12">
        <f>M30-M$28-M$29</f>
        <v/>
      </c>
      <c r="N31" s="12">
        <f>N30-N$28-N$29</f>
        <v/>
      </c>
      <c r="O31" s="12">
        <f>O30-O$28-O$29</f>
        <v/>
      </c>
      <c r="P31" s="12">
        <f>P30-P$28-P$29</f>
        <v/>
      </c>
      <c r="Q31" s="12">
        <f>Q30-Q$28-Q$29</f>
        <v/>
      </c>
      <c r="R31" s="12">
        <f>R30-R$28-R$29</f>
        <v/>
      </c>
      <c r="S31" s="12">
        <f>S30-S$28-S$29</f>
        <v/>
      </c>
      <c r="T31" s="12">
        <f>T30-T$28-T$29</f>
        <v/>
      </c>
      <c r="U31" s="12">
        <f>U30-U$28-U$29</f>
        <v/>
      </c>
      <c r="V31" s="12">
        <f>V30-V$28-V$29</f>
        <v/>
      </c>
      <c r="W31" s="12">
        <f>W30-W$28-W$29</f>
        <v/>
      </c>
      <c r="X31" s="12">
        <f>X30-X$28-X$29</f>
        <v/>
      </c>
      <c r="Y31" s="12">
        <f>Y30-Y$28-Y$29</f>
        <v/>
      </c>
      <c r="Z31" s="12">
        <f>Z30-Z$28-Z$29</f>
        <v/>
      </c>
      <c r="AA31" s="12">
        <f>AA30-AA$28-AA$29</f>
        <v/>
      </c>
      <c r="AB31" s="12">
        <f>AB30-AB$28-AB$29</f>
        <v/>
      </c>
      <c r="AC31" s="12">
        <f>AC30-AC$28-AC$29</f>
        <v/>
      </c>
      <c r="AD31" s="12">
        <f>AD30-AD$28-AD$29</f>
        <v/>
      </c>
      <c r="AE31" s="12">
        <f>AE30-AE$28-AE$29</f>
        <v/>
      </c>
      <c r="AF31" s="12">
        <f>AF30-AF$28-AF$29</f>
        <v/>
      </c>
      <c r="AG31" s="12">
        <f>AG30-AG$28-AG$29</f>
        <v/>
      </c>
      <c r="AH31" s="12">
        <f>AH30-AH$28-AH$29</f>
        <v/>
      </c>
      <c r="AI31" s="12">
        <f>AI30-AI$28-AI$29</f>
        <v/>
      </c>
      <c r="AJ31" s="12">
        <f>AJ30-AJ$28-AJ$29</f>
        <v/>
      </c>
      <c r="AK31" s="12">
        <f>AK30-AK$28-AK$29</f>
        <v/>
      </c>
      <c r="AL31" s="12">
        <f>AL30-AL$28-AL$29</f>
        <v/>
      </c>
      <c r="AM31" s="12">
        <f>AM30-AM$28-AM$29</f>
        <v/>
      </c>
    </row>
    <row r="32">
      <c r="B32" s="17" t="inlineStr">
        <is>
          <t>Пессимист: накопленный итог</t>
        </is>
      </c>
      <c r="C32" s="17" t="inlineStr">
        <is>
          <t>млн руб.</t>
        </is>
      </c>
      <c r="D32" s="12">
        <f>D31</f>
        <v/>
      </c>
      <c r="E32" s="12">
        <f>D32+E31</f>
        <v/>
      </c>
      <c r="F32" s="12">
        <f>E32+F31</f>
        <v/>
      </c>
      <c r="G32" s="12">
        <f>F32+G31</f>
        <v/>
      </c>
      <c r="H32" s="12">
        <f>G32+H31</f>
        <v/>
      </c>
      <c r="I32" s="12">
        <f>H32+I31</f>
        <v/>
      </c>
      <c r="J32" s="12">
        <f>I32+J31</f>
        <v/>
      </c>
      <c r="K32" s="12">
        <f>J32+K31</f>
        <v/>
      </c>
      <c r="L32" s="12">
        <f>K32+L31</f>
        <v/>
      </c>
      <c r="M32" s="12">
        <f>L32+M31</f>
        <v/>
      </c>
      <c r="N32" s="12">
        <f>M32+N31</f>
        <v/>
      </c>
      <c r="O32" s="12">
        <f>N32+O31</f>
        <v/>
      </c>
      <c r="P32" s="12">
        <f>O32+P31</f>
        <v/>
      </c>
      <c r="Q32" s="12">
        <f>P32+Q31</f>
        <v/>
      </c>
      <c r="R32" s="12">
        <f>Q32+R31</f>
        <v/>
      </c>
      <c r="S32" s="12">
        <f>R32+S31</f>
        <v/>
      </c>
      <c r="T32" s="12">
        <f>S32+T31</f>
        <v/>
      </c>
      <c r="U32" s="12">
        <f>T32+U31</f>
        <v/>
      </c>
      <c r="V32" s="12">
        <f>U32+V31</f>
        <v/>
      </c>
      <c r="W32" s="12">
        <f>V32+W31</f>
        <v/>
      </c>
      <c r="X32" s="12">
        <f>W32+X31</f>
        <v/>
      </c>
      <c r="Y32" s="12">
        <f>X32+Y31</f>
        <v/>
      </c>
      <c r="Z32" s="12">
        <f>Y32+Z31</f>
        <v/>
      </c>
      <c r="AA32" s="12">
        <f>Z32+AA31</f>
        <v/>
      </c>
      <c r="AB32" s="12">
        <f>AA32+AB31</f>
        <v/>
      </c>
      <c r="AC32" s="12">
        <f>AB32+AC31</f>
        <v/>
      </c>
      <c r="AD32" s="12">
        <f>AC32+AD31</f>
        <v/>
      </c>
      <c r="AE32" s="12">
        <f>AD32+AE31</f>
        <v/>
      </c>
      <c r="AF32" s="12">
        <f>AE32+AF31</f>
        <v/>
      </c>
      <c r="AG32" s="12">
        <f>AF32+AG31</f>
        <v/>
      </c>
      <c r="AH32" s="12">
        <f>AG32+AH31</f>
        <v/>
      </c>
      <c r="AI32" s="12">
        <f>AH32+AI31</f>
        <v/>
      </c>
      <c r="AJ32" s="12">
        <f>AI32+AJ31</f>
        <v/>
      </c>
      <c r="AK32" s="12">
        <f>AJ32+AK31</f>
        <v/>
      </c>
      <c r="AL32" s="12">
        <f>AK32+AL31</f>
        <v/>
      </c>
      <c r="AM32" s="12">
        <f>AL32+AM31</f>
        <v/>
      </c>
    </row>
    <row r="33">
      <c r="B33" s="18" t="inlineStr">
        <is>
          <t>База: валовый эффект</t>
        </is>
      </c>
      <c r="C33" s="17" t="inlineStr">
        <is>
          <t>млн руб.</t>
        </is>
      </c>
      <c r="D33" s="12">
        <f>$E$10/12*D$27</f>
        <v/>
      </c>
      <c r="E33" s="12">
        <f>$E$10/12*E$27</f>
        <v/>
      </c>
      <c r="F33" s="12">
        <f>$E$10/12*F$27</f>
        <v/>
      </c>
      <c r="G33" s="12">
        <f>$E$10/12*G$27</f>
        <v/>
      </c>
      <c r="H33" s="12">
        <f>$E$10/12*H$27</f>
        <v/>
      </c>
      <c r="I33" s="12">
        <f>$E$10/12*I$27</f>
        <v/>
      </c>
      <c r="J33" s="12">
        <f>$E$10/12*J$27</f>
        <v/>
      </c>
      <c r="K33" s="12">
        <f>$E$10/12*K$27</f>
        <v/>
      </c>
      <c r="L33" s="12">
        <f>$E$10/12*L$27</f>
        <v/>
      </c>
      <c r="M33" s="12">
        <f>$E$10/12*M$27</f>
        <v/>
      </c>
      <c r="N33" s="12">
        <f>$E$10/12*N$27</f>
        <v/>
      </c>
      <c r="O33" s="12">
        <f>$E$10/12*O$27</f>
        <v/>
      </c>
      <c r="P33" s="12">
        <f>$E$10/12*P$27</f>
        <v/>
      </c>
      <c r="Q33" s="12">
        <f>$E$10/12*Q$27</f>
        <v/>
      </c>
      <c r="R33" s="12">
        <f>$E$10/12*R$27</f>
        <v/>
      </c>
      <c r="S33" s="12">
        <f>$E$10/12*S$27</f>
        <v/>
      </c>
      <c r="T33" s="12">
        <f>$E$10/12*T$27</f>
        <v/>
      </c>
      <c r="U33" s="12">
        <f>$E$10/12*U$27</f>
        <v/>
      </c>
      <c r="V33" s="12">
        <f>$E$10/12*V$27</f>
        <v/>
      </c>
      <c r="W33" s="12">
        <f>$E$10/12*W$27</f>
        <v/>
      </c>
      <c r="X33" s="12">
        <f>$E$10/12*X$27</f>
        <v/>
      </c>
      <c r="Y33" s="12">
        <f>$E$10/12*Y$27</f>
        <v/>
      </c>
      <c r="Z33" s="12">
        <f>$E$10/12*Z$27</f>
        <v/>
      </c>
      <c r="AA33" s="12">
        <f>$E$10/12*AA$27</f>
        <v/>
      </c>
      <c r="AB33" s="12">
        <f>$E$10/12*AB$27</f>
        <v/>
      </c>
      <c r="AC33" s="12">
        <f>$E$10/12*AC$27</f>
        <v/>
      </c>
      <c r="AD33" s="12">
        <f>$E$10/12*AD$27</f>
        <v/>
      </c>
      <c r="AE33" s="12">
        <f>$E$10/12*AE$27</f>
        <v/>
      </c>
      <c r="AF33" s="12">
        <f>$E$10/12*AF$27</f>
        <v/>
      </c>
      <c r="AG33" s="12">
        <f>$E$10/12*AG$27</f>
        <v/>
      </c>
      <c r="AH33" s="12">
        <f>$E$10/12*AH$27</f>
        <v/>
      </c>
      <c r="AI33" s="12">
        <f>$E$10/12*AI$27</f>
        <v/>
      </c>
      <c r="AJ33" s="12">
        <f>$E$10/12*AJ$27</f>
        <v/>
      </c>
      <c r="AK33" s="12">
        <f>$E$10/12*AK$27</f>
        <v/>
      </c>
      <c r="AL33" s="12">
        <f>$E$10/12*AL$27</f>
        <v/>
      </c>
      <c r="AM33" s="12">
        <f>$E$10/12*AM$27</f>
        <v/>
      </c>
    </row>
    <row r="34">
      <c r="B34" s="17" t="inlineStr">
        <is>
          <t>База: чистый поток</t>
        </is>
      </c>
      <c r="C34" s="17" t="inlineStr">
        <is>
          <t>млн руб.</t>
        </is>
      </c>
      <c r="D34" s="12">
        <f>D33-D$28-D$29</f>
        <v/>
      </c>
      <c r="E34" s="12">
        <f>E33-E$28-E$29</f>
        <v/>
      </c>
      <c r="F34" s="12">
        <f>F33-F$28-F$29</f>
        <v/>
      </c>
      <c r="G34" s="12">
        <f>G33-G$28-G$29</f>
        <v/>
      </c>
      <c r="H34" s="12">
        <f>H33-H$28-H$29</f>
        <v/>
      </c>
      <c r="I34" s="12">
        <f>I33-I$28-I$29</f>
        <v/>
      </c>
      <c r="J34" s="12">
        <f>J33-J$28-J$29</f>
        <v/>
      </c>
      <c r="K34" s="12">
        <f>K33-K$28-K$29</f>
        <v/>
      </c>
      <c r="L34" s="12">
        <f>L33-L$28-L$29</f>
        <v/>
      </c>
      <c r="M34" s="12">
        <f>M33-M$28-M$29</f>
        <v/>
      </c>
      <c r="N34" s="12">
        <f>N33-N$28-N$29</f>
        <v/>
      </c>
      <c r="O34" s="12">
        <f>O33-O$28-O$29</f>
        <v/>
      </c>
      <c r="P34" s="12">
        <f>P33-P$28-P$29</f>
        <v/>
      </c>
      <c r="Q34" s="12">
        <f>Q33-Q$28-Q$29</f>
        <v/>
      </c>
      <c r="R34" s="12">
        <f>R33-R$28-R$29</f>
        <v/>
      </c>
      <c r="S34" s="12">
        <f>S33-S$28-S$29</f>
        <v/>
      </c>
      <c r="T34" s="12">
        <f>T33-T$28-T$29</f>
        <v/>
      </c>
      <c r="U34" s="12">
        <f>U33-U$28-U$29</f>
        <v/>
      </c>
      <c r="V34" s="12">
        <f>V33-V$28-V$29</f>
        <v/>
      </c>
      <c r="W34" s="12">
        <f>W33-W$28-W$29</f>
        <v/>
      </c>
      <c r="X34" s="12">
        <f>X33-X$28-X$29</f>
        <v/>
      </c>
      <c r="Y34" s="12">
        <f>Y33-Y$28-Y$29</f>
        <v/>
      </c>
      <c r="Z34" s="12">
        <f>Z33-Z$28-Z$29</f>
        <v/>
      </c>
      <c r="AA34" s="12">
        <f>AA33-AA$28-AA$29</f>
        <v/>
      </c>
      <c r="AB34" s="12">
        <f>AB33-AB$28-AB$29</f>
        <v/>
      </c>
      <c r="AC34" s="12">
        <f>AC33-AC$28-AC$29</f>
        <v/>
      </c>
      <c r="AD34" s="12">
        <f>AD33-AD$28-AD$29</f>
        <v/>
      </c>
      <c r="AE34" s="12">
        <f>AE33-AE$28-AE$29</f>
        <v/>
      </c>
      <c r="AF34" s="12">
        <f>AF33-AF$28-AF$29</f>
        <v/>
      </c>
      <c r="AG34" s="12">
        <f>AG33-AG$28-AG$29</f>
        <v/>
      </c>
      <c r="AH34" s="12">
        <f>AH33-AH$28-AH$29</f>
        <v/>
      </c>
      <c r="AI34" s="12">
        <f>AI33-AI$28-AI$29</f>
        <v/>
      </c>
      <c r="AJ34" s="12">
        <f>AJ33-AJ$28-AJ$29</f>
        <v/>
      </c>
      <c r="AK34" s="12">
        <f>AK33-AK$28-AK$29</f>
        <v/>
      </c>
      <c r="AL34" s="12">
        <f>AL33-AL$28-AL$29</f>
        <v/>
      </c>
      <c r="AM34" s="12">
        <f>AM33-AM$28-AM$29</f>
        <v/>
      </c>
    </row>
    <row r="35">
      <c r="B35" s="17" t="inlineStr">
        <is>
          <t>База: накопленный итог</t>
        </is>
      </c>
      <c r="C35" s="17" t="inlineStr">
        <is>
          <t>млн руб.</t>
        </is>
      </c>
      <c r="D35" s="12">
        <f>D34</f>
        <v/>
      </c>
      <c r="E35" s="12">
        <f>D35+E34</f>
        <v/>
      </c>
      <c r="F35" s="12">
        <f>E35+F34</f>
        <v/>
      </c>
      <c r="G35" s="12">
        <f>F35+G34</f>
        <v/>
      </c>
      <c r="H35" s="12">
        <f>G35+H34</f>
        <v/>
      </c>
      <c r="I35" s="12">
        <f>H35+I34</f>
        <v/>
      </c>
      <c r="J35" s="12">
        <f>I35+J34</f>
        <v/>
      </c>
      <c r="K35" s="12">
        <f>J35+K34</f>
        <v/>
      </c>
      <c r="L35" s="12">
        <f>K35+L34</f>
        <v/>
      </c>
      <c r="M35" s="12">
        <f>L35+M34</f>
        <v/>
      </c>
      <c r="N35" s="12">
        <f>M35+N34</f>
        <v/>
      </c>
      <c r="O35" s="12">
        <f>N35+O34</f>
        <v/>
      </c>
      <c r="P35" s="12">
        <f>O35+P34</f>
        <v/>
      </c>
      <c r="Q35" s="12">
        <f>P35+Q34</f>
        <v/>
      </c>
      <c r="R35" s="12">
        <f>Q35+R34</f>
        <v/>
      </c>
      <c r="S35" s="12">
        <f>R35+S34</f>
        <v/>
      </c>
      <c r="T35" s="12">
        <f>S35+T34</f>
        <v/>
      </c>
      <c r="U35" s="12">
        <f>T35+U34</f>
        <v/>
      </c>
      <c r="V35" s="12">
        <f>U35+V34</f>
        <v/>
      </c>
      <c r="W35" s="12">
        <f>V35+W34</f>
        <v/>
      </c>
      <c r="X35" s="12">
        <f>W35+X34</f>
        <v/>
      </c>
      <c r="Y35" s="12">
        <f>X35+Y34</f>
        <v/>
      </c>
      <c r="Z35" s="12">
        <f>Y35+Z34</f>
        <v/>
      </c>
      <c r="AA35" s="12">
        <f>Z35+AA34</f>
        <v/>
      </c>
      <c r="AB35" s="12">
        <f>AA35+AB34</f>
        <v/>
      </c>
      <c r="AC35" s="12">
        <f>AB35+AC34</f>
        <v/>
      </c>
      <c r="AD35" s="12">
        <f>AC35+AD34</f>
        <v/>
      </c>
      <c r="AE35" s="12">
        <f>AD35+AE34</f>
        <v/>
      </c>
      <c r="AF35" s="12">
        <f>AE35+AF34</f>
        <v/>
      </c>
      <c r="AG35" s="12">
        <f>AF35+AG34</f>
        <v/>
      </c>
      <c r="AH35" s="12">
        <f>AG35+AH34</f>
        <v/>
      </c>
      <c r="AI35" s="12">
        <f>AH35+AI34</f>
        <v/>
      </c>
      <c r="AJ35" s="12">
        <f>AI35+AJ34</f>
        <v/>
      </c>
      <c r="AK35" s="12">
        <f>AJ35+AK34</f>
        <v/>
      </c>
      <c r="AL35" s="12">
        <f>AK35+AL34</f>
        <v/>
      </c>
      <c r="AM35" s="12">
        <f>AL35+AM34</f>
        <v/>
      </c>
    </row>
    <row r="36">
      <c r="B36" s="18" t="inlineStr">
        <is>
          <t>Оптимист: валовый эффект</t>
        </is>
      </c>
      <c r="C36" s="17" t="inlineStr">
        <is>
          <t>млн руб.</t>
        </is>
      </c>
      <c r="D36" s="12">
        <f>$F$10/12*D$27</f>
        <v/>
      </c>
      <c r="E36" s="12">
        <f>$F$10/12*E$27</f>
        <v/>
      </c>
      <c r="F36" s="12">
        <f>$F$10/12*F$27</f>
        <v/>
      </c>
      <c r="G36" s="12">
        <f>$F$10/12*G$27</f>
        <v/>
      </c>
      <c r="H36" s="12">
        <f>$F$10/12*H$27</f>
        <v/>
      </c>
      <c r="I36" s="12">
        <f>$F$10/12*I$27</f>
        <v/>
      </c>
      <c r="J36" s="12">
        <f>$F$10/12*J$27</f>
        <v/>
      </c>
      <c r="K36" s="12">
        <f>$F$10/12*K$27</f>
        <v/>
      </c>
      <c r="L36" s="12">
        <f>$F$10/12*L$27</f>
        <v/>
      </c>
      <c r="M36" s="12">
        <f>$F$10/12*M$27</f>
        <v/>
      </c>
      <c r="N36" s="12">
        <f>$F$10/12*N$27</f>
        <v/>
      </c>
      <c r="O36" s="12">
        <f>$F$10/12*O$27</f>
        <v/>
      </c>
      <c r="P36" s="12">
        <f>$F$10/12*P$27</f>
        <v/>
      </c>
      <c r="Q36" s="12">
        <f>$F$10/12*Q$27</f>
        <v/>
      </c>
      <c r="R36" s="12">
        <f>$F$10/12*R$27</f>
        <v/>
      </c>
      <c r="S36" s="12">
        <f>$F$10/12*S$27</f>
        <v/>
      </c>
      <c r="T36" s="12">
        <f>$F$10/12*T$27</f>
        <v/>
      </c>
      <c r="U36" s="12">
        <f>$F$10/12*U$27</f>
        <v/>
      </c>
      <c r="V36" s="12">
        <f>$F$10/12*V$27</f>
        <v/>
      </c>
      <c r="W36" s="12">
        <f>$F$10/12*W$27</f>
        <v/>
      </c>
      <c r="X36" s="12">
        <f>$F$10/12*X$27</f>
        <v/>
      </c>
      <c r="Y36" s="12">
        <f>$F$10/12*Y$27</f>
        <v/>
      </c>
      <c r="Z36" s="12">
        <f>$F$10/12*Z$27</f>
        <v/>
      </c>
      <c r="AA36" s="12">
        <f>$F$10/12*AA$27</f>
        <v/>
      </c>
      <c r="AB36" s="12">
        <f>$F$10/12*AB$27</f>
        <v/>
      </c>
      <c r="AC36" s="12">
        <f>$F$10/12*AC$27</f>
        <v/>
      </c>
      <c r="AD36" s="12">
        <f>$F$10/12*AD$27</f>
        <v/>
      </c>
      <c r="AE36" s="12">
        <f>$F$10/12*AE$27</f>
        <v/>
      </c>
      <c r="AF36" s="12">
        <f>$F$10/12*AF$27</f>
        <v/>
      </c>
      <c r="AG36" s="12">
        <f>$F$10/12*AG$27</f>
        <v/>
      </c>
      <c r="AH36" s="12">
        <f>$F$10/12*AH$27</f>
        <v/>
      </c>
      <c r="AI36" s="12">
        <f>$F$10/12*AI$27</f>
        <v/>
      </c>
      <c r="AJ36" s="12">
        <f>$F$10/12*AJ$27</f>
        <v/>
      </c>
      <c r="AK36" s="12">
        <f>$F$10/12*AK$27</f>
        <v/>
      </c>
      <c r="AL36" s="12">
        <f>$F$10/12*AL$27</f>
        <v/>
      </c>
      <c r="AM36" s="12">
        <f>$F$10/12*AM$27</f>
        <v/>
      </c>
    </row>
    <row r="37">
      <c r="B37" s="17" t="inlineStr">
        <is>
          <t>Оптимист: чистый поток</t>
        </is>
      </c>
      <c r="C37" s="17" t="inlineStr">
        <is>
          <t>млн руб.</t>
        </is>
      </c>
      <c r="D37" s="12">
        <f>D36-D$28-D$29</f>
        <v/>
      </c>
      <c r="E37" s="12">
        <f>E36-E$28-E$29</f>
        <v/>
      </c>
      <c r="F37" s="12">
        <f>F36-F$28-F$29</f>
        <v/>
      </c>
      <c r="G37" s="12">
        <f>G36-G$28-G$29</f>
        <v/>
      </c>
      <c r="H37" s="12">
        <f>H36-H$28-H$29</f>
        <v/>
      </c>
      <c r="I37" s="12">
        <f>I36-I$28-I$29</f>
        <v/>
      </c>
      <c r="J37" s="12">
        <f>J36-J$28-J$29</f>
        <v/>
      </c>
      <c r="K37" s="12">
        <f>K36-K$28-K$29</f>
        <v/>
      </c>
      <c r="L37" s="12">
        <f>L36-L$28-L$29</f>
        <v/>
      </c>
      <c r="M37" s="12">
        <f>M36-M$28-M$29</f>
        <v/>
      </c>
      <c r="N37" s="12">
        <f>N36-N$28-N$29</f>
        <v/>
      </c>
      <c r="O37" s="12">
        <f>O36-O$28-O$29</f>
        <v/>
      </c>
      <c r="P37" s="12">
        <f>P36-P$28-P$29</f>
        <v/>
      </c>
      <c r="Q37" s="12">
        <f>Q36-Q$28-Q$29</f>
        <v/>
      </c>
      <c r="R37" s="12">
        <f>R36-R$28-R$29</f>
        <v/>
      </c>
      <c r="S37" s="12">
        <f>S36-S$28-S$29</f>
        <v/>
      </c>
      <c r="T37" s="12">
        <f>T36-T$28-T$29</f>
        <v/>
      </c>
      <c r="U37" s="12">
        <f>U36-U$28-U$29</f>
        <v/>
      </c>
      <c r="V37" s="12">
        <f>V36-V$28-V$29</f>
        <v/>
      </c>
      <c r="W37" s="12">
        <f>W36-W$28-W$29</f>
        <v/>
      </c>
      <c r="X37" s="12">
        <f>X36-X$28-X$29</f>
        <v/>
      </c>
      <c r="Y37" s="12">
        <f>Y36-Y$28-Y$29</f>
        <v/>
      </c>
      <c r="Z37" s="12">
        <f>Z36-Z$28-Z$29</f>
        <v/>
      </c>
      <c r="AA37" s="12">
        <f>AA36-AA$28-AA$29</f>
        <v/>
      </c>
      <c r="AB37" s="12">
        <f>AB36-AB$28-AB$29</f>
        <v/>
      </c>
      <c r="AC37" s="12">
        <f>AC36-AC$28-AC$29</f>
        <v/>
      </c>
      <c r="AD37" s="12">
        <f>AD36-AD$28-AD$29</f>
        <v/>
      </c>
      <c r="AE37" s="12">
        <f>AE36-AE$28-AE$29</f>
        <v/>
      </c>
      <c r="AF37" s="12">
        <f>AF36-AF$28-AF$29</f>
        <v/>
      </c>
      <c r="AG37" s="12">
        <f>AG36-AG$28-AG$29</f>
        <v/>
      </c>
      <c r="AH37" s="12">
        <f>AH36-AH$28-AH$29</f>
        <v/>
      </c>
      <c r="AI37" s="12">
        <f>AI36-AI$28-AI$29</f>
        <v/>
      </c>
      <c r="AJ37" s="12">
        <f>AJ36-AJ$28-AJ$29</f>
        <v/>
      </c>
      <c r="AK37" s="12">
        <f>AK36-AK$28-AK$29</f>
        <v/>
      </c>
      <c r="AL37" s="12">
        <f>AL36-AL$28-AL$29</f>
        <v/>
      </c>
      <c r="AM37" s="12">
        <f>AM36-AM$28-AM$29</f>
        <v/>
      </c>
    </row>
    <row r="38">
      <c r="B38" s="17" t="inlineStr">
        <is>
          <t>Оптимист: накопленный итог</t>
        </is>
      </c>
      <c r="C38" s="17" t="inlineStr">
        <is>
          <t>млн руб.</t>
        </is>
      </c>
      <c r="D38" s="12">
        <f>D37</f>
        <v/>
      </c>
      <c r="E38" s="12">
        <f>D38+E37</f>
        <v/>
      </c>
      <c r="F38" s="12">
        <f>E38+F37</f>
        <v/>
      </c>
      <c r="G38" s="12">
        <f>F38+G37</f>
        <v/>
      </c>
      <c r="H38" s="12">
        <f>G38+H37</f>
        <v/>
      </c>
      <c r="I38" s="12">
        <f>H38+I37</f>
        <v/>
      </c>
      <c r="J38" s="12">
        <f>I38+J37</f>
        <v/>
      </c>
      <c r="K38" s="12">
        <f>J38+K37</f>
        <v/>
      </c>
      <c r="L38" s="12">
        <f>K38+L37</f>
        <v/>
      </c>
      <c r="M38" s="12">
        <f>L38+M37</f>
        <v/>
      </c>
      <c r="N38" s="12">
        <f>M38+N37</f>
        <v/>
      </c>
      <c r="O38" s="12">
        <f>N38+O37</f>
        <v/>
      </c>
      <c r="P38" s="12">
        <f>O38+P37</f>
        <v/>
      </c>
      <c r="Q38" s="12">
        <f>P38+Q37</f>
        <v/>
      </c>
      <c r="R38" s="12">
        <f>Q38+R37</f>
        <v/>
      </c>
      <c r="S38" s="12">
        <f>R38+S37</f>
        <v/>
      </c>
      <c r="T38" s="12">
        <f>S38+T37</f>
        <v/>
      </c>
      <c r="U38" s="12">
        <f>T38+U37</f>
        <v/>
      </c>
      <c r="V38" s="12">
        <f>U38+V37</f>
        <v/>
      </c>
      <c r="W38" s="12">
        <f>V38+W37</f>
        <v/>
      </c>
      <c r="X38" s="12">
        <f>W38+X37</f>
        <v/>
      </c>
      <c r="Y38" s="12">
        <f>X38+Y37</f>
        <v/>
      </c>
      <c r="Z38" s="12">
        <f>Y38+Z37</f>
        <v/>
      </c>
      <c r="AA38" s="12">
        <f>Z38+AA37</f>
        <v/>
      </c>
      <c r="AB38" s="12">
        <f>AA38+AB37</f>
        <v/>
      </c>
      <c r="AC38" s="12">
        <f>AB38+AC37</f>
        <v/>
      </c>
      <c r="AD38" s="12">
        <f>AC38+AD37</f>
        <v/>
      </c>
      <c r="AE38" s="12">
        <f>AD38+AE37</f>
        <v/>
      </c>
      <c r="AF38" s="12">
        <f>AE38+AF37</f>
        <v/>
      </c>
      <c r="AG38" s="12">
        <f>AF38+AG37</f>
        <v/>
      </c>
      <c r="AH38" s="12">
        <f>AG38+AH37</f>
        <v/>
      </c>
      <c r="AI38" s="12">
        <f>AH38+AI37</f>
        <v/>
      </c>
      <c r="AJ38" s="12">
        <f>AI38+AJ37</f>
        <v/>
      </c>
      <c r="AK38" s="12">
        <f>AJ38+AK37</f>
        <v/>
      </c>
      <c r="AL38" s="12">
        <f>AK38+AL37</f>
        <v/>
      </c>
      <c r="AM38" s="12">
        <f>AL38+AM37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6" customWidth="1" min="2" max="2"/>
    <col width="14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Сценарии: пессимистичный / базовый / оптимистичный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Показатель</t>
        </is>
      </c>
      <c r="C4" s="5" t="inlineStr">
        <is>
          <t>Ед.</t>
        </is>
      </c>
      <c r="D4" s="5" t="inlineStr">
        <is>
          <t>Пессимист</t>
        </is>
      </c>
      <c r="E4" s="5" t="inlineStr">
        <is>
          <t>База</t>
        </is>
      </c>
      <c r="F4" s="5" t="inlineStr">
        <is>
          <t>Оптимист</t>
        </is>
      </c>
    </row>
    <row r="5">
      <c r="A5" s="6" t="inlineStr">
        <is>
          <t>Что меняется между сценариями (входы на листе «Допущения»)</t>
        </is>
      </c>
      <c r="B5" s="6" t="n"/>
      <c r="C5" s="6" t="n"/>
      <c r="D5" s="6" t="n"/>
      <c r="E5" s="6" t="n"/>
      <c r="F5" s="6" t="n"/>
    </row>
    <row r="6">
      <c r="B6" s="17" t="inlineStr">
        <is>
          <t>Полнота выявления после (A8)</t>
        </is>
      </c>
      <c r="C6" s="17" t="inlineStr">
        <is>
          <t>%</t>
        </is>
      </c>
      <c r="D6" s="22">
        <f>'Допущения'!$C$37</f>
        <v/>
      </c>
      <c r="E6" s="22">
        <f>'Допущения'!$D$37</f>
        <v/>
      </c>
      <c r="F6" s="22">
        <f>'Допущения'!$E$37</f>
        <v/>
      </c>
    </row>
    <row r="7">
      <c r="B7" s="17" t="inlineStr">
        <is>
          <t>Сокращение потерь (A9)</t>
        </is>
      </c>
      <c r="C7" s="17" t="inlineStr">
        <is>
          <t>%</t>
        </is>
      </c>
      <c r="D7" s="22">
        <f>'Допущения'!$C$38</f>
        <v/>
      </c>
      <c r="E7" s="22">
        <f>'Допущения'!$D$38</f>
        <v/>
      </c>
      <c r="F7" s="22">
        <f>'Допущения'!$E$38</f>
        <v/>
      </c>
    </row>
    <row r="8">
      <c r="B8" s="17" t="inlineStr">
        <is>
          <t>Доля сигналов → ошибочное ограничение после (A12)</t>
        </is>
      </c>
      <c r="C8" s="17" t="inlineStr">
        <is>
          <t>%</t>
        </is>
      </c>
      <c r="D8" s="22">
        <f>'Допущения'!$C$47</f>
        <v/>
      </c>
      <c r="E8" s="22">
        <f>'Допущения'!$D$47</f>
        <v/>
      </c>
      <c r="F8" s="22">
        <f>'Допущения'!$E$47</f>
        <v/>
      </c>
    </row>
    <row r="9">
      <c r="B9" s="17" t="inlineStr">
        <is>
          <t>Снижение числа попыток (A9a)</t>
        </is>
      </c>
      <c r="C9" s="17" t="inlineStr">
        <is>
          <t>%</t>
        </is>
      </c>
      <c r="D9" s="22">
        <f>'Допущения'!$C$39</f>
        <v/>
      </c>
      <c r="E9" s="22">
        <f>'Допущения'!$D$39</f>
        <v/>
      </c>
      <c r="F9" s="22">
        <f>'Допущения'!$E$39</f>
        <v/>
      </c>
    </row>
    <row r="10">
      <c r="A10" s="6" t="inlineStr">
        <is>
          <t>KPI</t>
        </is>
      </c>
      <c r="B10" s="6" t="n"/>
      <c r="C10" s="6" t="n"/>
      <c r="D10" s="6" t="n"/>
      <c r="E10" s="6" t="n"/>
      <c r="F10" s="6" t="n"/>
    </row>
    <row r="11">
      <c r="B11" s="17" t="inlineStr">
        <is>
          <t>Потери клиентов ВТБ в фокусе: было</t>
        </is>
      </c>
      <c r="C11" s="17" t="inlineStr">
        <is>
          <t>млн руб./год</t>
        </is>
      </c>
      <c r="D11" s="23">
        <f>'Допущения'!$D$34</f>
        <v/>
      </c>
      <c r="E11" s="23">
        <f>'Допущения'!$D$34</f>
        <v/>
      </c>
      <c r="F11" s="23">
        <f>'Допущения'!$D$34</f>
        <v/>
      </c>
    </row>
    <row r="12">
      <c r="B12" s="17" t="inlineStr">
        <is>
          <t>Потери клиентов ВТБ в фокусе: стало</t>
        </is>
      </c>
      <c r="C12" s="17" t="inlineStr">
        <is>
          <t>млн руб./год</t>
        </is>
      </c>
      <c r="D12" s="23">
        <f>'KPI'!$E$5</f>
        <v/>
      </c>
      <c r="E12" s="23">
        <f>'KPI'!$F$5</f>
        <v/>
      </c>
      <c r="F12" s="23">
        <f>'KPI'!$G$5</f>
        <v/>
      </c>
    </row>
    <row r="13">
      <c r="B13" s="17" t="inlineStr">
        <is>
          <t>Сохраненные средства клиентов (KPI, не доход банка)</t>
        </is>
      </c>
      <c r="C13" s="17" t="inlineStr">
        <is>
          <t>млн руб./год</t>
        </is>
      </c>
      <c r="D13" s="23">
        <f>'KPI'!$E$6</f>
        <v/>
      </c>
      <c r="E13" s="23">
        <f>'KPI'!$F$6</f>
        <v/>
      </c>
      <c r="F13" s="23">
        <f>'KPI'!$G$6</f>
        <v/>
      </c>
    </row>
    <row r="14">
      <c r="B14" s="17" t="inlineStr">
        <is>
          <t>Ошибочные ограничения: было</t>
        </is>
      </c>
      <c r="C14" s="17" t="inlineStr">
        <is>
          <t>% законных</t>
        </is>
      </c>
      <c r="D14" s="24">
        <f>'Допущения'!$D$48</f>
        <v/>
      </c>
      <c r="E14" s="24">
        <f>'Допущения'!$D$48</f>
        <v/>
      </c>
      <c r="F14" s="24">
        <f>'Допущения'!$D$48</f>
        <v/>
      </c>
    </row>
    <row r="15">
      <c r="B15" s="17" t="inlineStr">
        <is>
          <t>Ошибочные ограничения: стало</t>
        </is>
      </c>
      <c r="C15" s="17" t="inlineStr">
        <is>
          <t>% законных</t>
        </is>
      </c>
      <c r="D15" s="24">
        <f>'KPI'!$E$11</f>
        <v/>
      </c>
      <c r="E15" s="24">
        <f>'KPI'!$F$11</f>
        <v/>
      </c>
      <c r="F15" s="24">
        <f>'KPI'!$G$11</f>
        <v/>
      </c>
    </row>
    <row r="16">
      <c r="B16" s="17" t="inlineStr">
        <is>
          <t>Изменение NPS банка</t>
        </is>
      </c>
      <c r="C16" s="17" t="inlineStr">
        <is>
          <t>п.</t>
        </is>
      </c>
      <c r="D16" s="26">
        <f>'NPS'!$E$10</f>
        <v/>
      </c>
      <c r="E16" s="26">
        <f>'NPS'!$F$10</f>
        <v/>
      </c>
      <c r="F16" s="26">
        <f>'NPS'!$G$10</f>
        <v/>
      </c>
    </row>
    <row r="17">
      <c r="A17" s="6" t="inlineStr">
        <is>
          <t>Экономика банка</t>
        </is>
      </c>
      <c r="B17" s="6" t="n"/>
      <c r="C17" s="6" t="n"/>
      <c r="D17" s="6" t="n"/>
      <c r="E17" s="6" t="n"/>
      <c r="F17" s="6" t="n"/>
    </row>
    <row r="18">
      <c r="B18" s="17" t="inlineStr">
        <is>
          <t>Избежанный расход банка</t>
        </is>
      </c>
      <c r="C18" s="17" t="inlineStr">
        <is>
          <t>млн руб./год</t>
        </is>
      </c>
      <c r="D18" s="23">
        <f>'Эффект'!$D$7</f>
        <v/>
      </c>
      <c r="E18" s="23">
        <f>'Эффект'!$E$7</f>
        <v/>
      </c>
      <c r="F18" s="23">
        <f>'Эффект'!$F$7</f>
        <v/>
      </c>
    </row>
    <row r="19">
      <c r="B19" s="17" t="inlineStr">
        <is>
          <t>Экономия на ошибочных ограничениях</t>
        </is>
      </c>
      <c r="C19" s="17" t="inlineStr">
        <is>
          <t>млн руб./год</t>
        </is>
      </c>
      <c r="D19" s="23">
        <f>'Эффект'!$D$8</f>
        <v/>
      </c>
      <c r="E19" s="23">
        <f>'Эффект'!$E$8</f>
        <v/>
      </c>
      <c r="F19" s="23">
        <f>'Эффект'!$F$8</f>
        <v/>
      </c>
    </row>
    <row r="20">
      <c r="B20" s="17" t="inlineStr">
        <is>
          <t>Удержание клиентов</t>
        </is>
      </c>
      <c r="C20" s="17" t="inlineStr">
        <is>
          <t>млн руб./год</t>
        </is>
      </c>
      <c r="D20" s="23">
        <f>'Эффект'!$D$9</f>
        <v/>
      </c>
      <c r="E20" s="23">
        <f>'Эффект'!$E$9</f>
        <v/>
      </c>
      <c r="F20" s="23">
        <f>'Эффект'!$F$9</f>
        <v/>
      </c>
    </row>
    <row r="21">
      <c r="B21" s="17" t="inlineStr">
        <is>
          <t>Итого эффект для банка (валовый)</t>
        </is>
      </c>
      <c r="C21" s="17" t="inlineStr">
        <is>
          <t>млн руб./год</t>
        </is>
      </c>
      <c r="D21" s="23">
        <f>'Эффект'!$D$10</f>
        <v/>
      </c>
      <c r="E21" s="23">
        <f>'Эффект'!$E$10</f>
        <v/>
      </c>
      <c r="F21" s="23">
        <f>'Эффект'!$F$10</f>
        <v/>
      </c>
    </row>
    <row r="22">
      <c r="B22" s="17" t="inlineStr">
        <is>
          <t>Затраты на эксплуатацию</t>
        </is>
      </c>
      <c r="C22" s="17" t="inlineStr">
        <is>
          <t>млн руб./год</t>
        </is>
      </c>
      <c r="D22" s="23">
        <f>'Эффект'!$D$11</f>
        <v/>
      </c>
      <c r="E22" s="23">
        <f>'Эффект'!$E$11</f>
        <v/>
      </c>
      <c r="F22" s="23">
        <f>'Эффект'!$F$11</f>
        <v/>
      </c>
    </row>
    <row r="23">
      <c r="B23" s="17" t="inlineStr">
        <is>
          <t>Чистый годовой эффект</t>
        </is>
      </c>
      <c r="C23" s="17" t="inlineStr">
        <is>
          <t>млн руб./год</t>
        </is>
      </c>
      <c r="D23" s="23">
        <f>'Эффект'!$D$12</f>
        <v/>
      </c>
      <c r="E23" s="23">
        <f>'Эффект'!$E$12</f>
        <v/>
      </c>
      <c r="F23" s="23">
        <f>'Эффект'!$F$12</f>
        <v/>
      </c>
    </row>
    <row r="24">
      <c r="B24" s="17" t="inlineStr">
        <is>
          <t>Затраты на внедрение</t>
        </is>
      </c>
      <c r="C24" s="17" t="inlineStr">
        <is>
          <t>млн руб.</t>
        </is>
      </c>
      <c r="D24" s="23">
        <f>'Эффект'!$D$13</f>
        <v/>
      </c>
      <c r="E24" s="23">
        <f>'Эффект'!$E$13</f>
        <v/>
      </c>
      <c r="F24" s="23">
        <f>'Эффект'!$F$13</f>
        <v/>
      </c>
    </row>
    <row r="25">
      <c r="B25" s="17" t="inlineStr">
        <is>
          <t>Срок окупаемости от старта проекта</t>
        </is>
      </c>
      <c r="C25" s="17" t="inlineStr">
        <is>
          <t>мес.</t>
        </is>
      </c>
      <c r="D25" s="21">
        <f>'Эффект'!$D$14</f>
        <v/>
      </c>
      <c r="E25" s="21">
        <f>'Эффект'!$E$14</f>
        <v/>
      </c>
      <c r="F25" s="21">
        <f>'Эффект'!$F$14</f>
        <v/>
      </c>
    </row>
    <row r="26">
      <c r="B26" s="17" t="inlineStr">
        <is>
          <t>Накопленный чистый эффект за 36 мес.</t>
        </is>
      </c>
      <c r="C26" s="17" t="inlineStr">
        <is>
          <t>млн руб.</t>
        </is>
      </c>
      <c r="D26" s="23">
        <f>'Эффект'!$D$17</f>
        <v/>
      </c>
      <c r="E26" s="23">
        <f>'Эффект'!$E$17</f>
        <v/>
      </c>
      <c r="F26" s="23">
        <f>'Эффект'!$F$17</f>
        <v/>
      </c>
    </row>
    <row r="27">
      <c r="B27" s="17" t="inlineStr">
        <is>
          <t>NPV за 36 мес.</t>
        </is>
      </c>
      <c r="C27" s="17" t="inlineStr">
        <is>
          <t>млн руб.</t>
        </is>
      </c>
      <c r="D27" s="23">
        <f>'Эффект'!$D$18</f>
        <v/>
      </c>
      <c r="E27" s="23">
        <f>'Эффект'!$E$18</f>
        <v/>
      </c>
      <c r="F27" s="23">
        <f>'Эффект'!$F$18</f>
        <v/>
      </c>
    </row>
    <row r="28">
      <c r="B28" s="17" t="inlineStr">
        <is>
          <t>Бюджет ≤ 50 млн?</t>
        </is>
      </c>
      <c r="C28" s="17" t="inlineStr"/>
      <c r="D28" s="33">
        <f>'Затраты'!$C$17</f>
        <v/>
      </c>
      <c r="E28" s="33">
        <f>'Затраты'!$C$17</f>
        <v/>
      </c>
      <c r="F28" s="33">
        <f>'Затраты'!$C$17</f>
        <v/>
      </c>
    </row>
    <row r="29">
      <c r="B29" s="17" t="inlineStr">
        <is>
          <t>Срок ≤ 6 мес.?</t>
        </is>
      </c>
      <c r="C29" s="17" t="inlineStr"/>
      <c r="D29" s="33">
        <f>'Затраты'!$C$20</f>
        <v/>
      </c>
      <c r="E29" s="33">
        <f>'Затраты'!$C$20</f>
        <v/>
      </c>
      <c r="F29" s="33">
        <f>'Затраты'!$C$20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Чувствительность чистого годового эффекта (базовый сценарий) к ключевым допущениям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B4" s="17" t="inlineStr">
        <is>
          <t>Шаг изменения допущения (S1)</t>
        </is>
      </c>
      <c r="C4" s="22">
        <f>'Допущения'!$D$88</f>
        <v/>
      </c>
    </row>
    <row r="5">
      <c r="B5" s="18" t="inlineStr">
        <is>
          <t>Чистый годовой эффект, база (замкнутая формула), млн руб.</t>
        </is>
      </c>
      <c r="C5" s="31">
        <f>'Допущения'!$D$34*'KPI'!$F$7*'Допущения'!$D$65+'Допущения'!$D$43*('Допущения'!$D$48-'Допущения'!$D$49)*('Допущения'!$D$59+'Допущения'!$D$61*'Допущения'!$D$62/'Допущения'!$D$60)-'Затраты'!$C$25</f>
        <v/>
      </c>
    </row>
    <row r="6">
      <c r="B6" s="17" t="inlineStr">
        <is>
          <t>Сверка с листом «Эффект»</t>
        </is>
      </c>
      <c r="C6" s="17">
        <f>IF(ABS(C5-'Эффект'!$E$12)&lt;0.001,"OK","Расхождение")</f>
        <v/>
      </c>
    </row>
    <row r="8">
      <c r="A8" s="5" t="inlineStr"/>
      <c r="B8" s="5" t="inlineStr">
        <is>
          <t>Допущение</t>
        </is>
      </c>
      <c r="C8" s="5" t="inlineStr">
        <is>
          <t>Базовое значение</t>
        </is>
      </c>
      <c r="D8" s="5" t="inlineStr">
        <is>
          <t>Эффект при −S1</t>
        </is>
      </c>
      <c r="E8" s="5" t="inlineStr">
        <is>
          <t>Эффект при +S1</t>
        </is>
      </c>
      <c r="F8" s="5" t="inlineStr">
        <is>
          <t>Изменение при −S1</t>
        </is>
      </c>
      <c r="G8" s="5" t="inlineStr">
        <is>
          <t>Изменение при +S1</t>
        </is>
      </c>
      <c r="H8" s="5" t="inlineStr">
        <is>
          <t>Размах</t>
        </is>
      </c>
    </row>
    <row r="9">
      <c r="B9" s="17" t="inlineStr">
        <is>
          <t>Доля ВТБ в потерях фокуса (A5)</t>
        </is>
      </c>
      <c r="C9" s="22">
        <f>'Допущения'!$D$33</f>
        <v/>
      </c>
      <c r="D9" s="13">
        <f>'Допущения'!$D$34*(1-'Допущения'!$D$88)*'KPI'!$F$7*'Допущения'!$D$65+'Допущения'!$D$43*('Допущения'!$D$48-'Допущения'!$D$49)*('Допущения'!$D$59+'Допущения'!$D$61*'Допущения'!$D$62/'Допущения'!$D$60)-'Затраты'!$C$25</f>
        <v/>
      </c>
      <c r="E9" s="13">
        <f>'Допущения'!$D$34*(1+'Допущения'!$D$88)*'KPI'!$F$7*'Допущения'!$D$65+'Допущения'!$D$43*('Допущения'!$D$48-'Допущения'!$D$49)*('Допущения'!$D$59+'Допущения'!$D$61*'Допущения'!$D$62/'Допущения'!$D$60)-'Затраты'!$C$25</f>
        <v/>
      </c>
      <c r="F9" s="13">
        <f>D9-$C$5</f>
        <v/>
      </c>
      <c r="G9" s="13">
        <f>E9-$C$5</f>
        <v/>
      </c>
      <c r="H9" s="13">
        <f>ABS(G9-F9)</f>
        <v/>
      </c>
    </row>
    <row r="10">
      <c r="B10" s="17" t="inlineStr">
        <is>
          <t>Сокращение потерь (A9, база)</t>
        </is>
      </c>
      <c r="C10" s="22">
        <f>'KPI'!$F$7</f>
        <v/>
      </c>
      <c r="D10" s="13">
        <f>'Допущения'!$D$34*'KPI'!$F$7*(1-'Допущения'!$D$88)*'Допущения'!$D$65+'Допущения'!$D$43*('Допущения'!$D$48-'Допущения'!$D$49)*('Допущения'!$D$59+'Допущения'!$D$61*'Допущения'!$D$62/'Допущения'!$D$60)-'Затраты'!$C$25</f>
        <v/>
      </c>
      <c r="E10" s="13">
        <f>'Допущения'!$D$34*'KPI'!$F$7*(1+'Допущения'!$D$88)*'Допущения'!$D$65+'Допущения'!$D$43*('Допущения'!$D$48-'Допущения'!$D$49)*('Допущения'!$D$59+'Допущения'!$D$61*'Допущения'!$D$62/'Допущения'!$D$60)-'Затраты'!$C$25</f>
        <v/>
      </c>
      <c r="F10" s="13">
        <f>D10-$C$5</f>
        <v/>
      </c>
      <c r="G10" s="13">
        <f>E10-$C$5</f>
        <v/>
      </c>
      <c r="H10" s="13">
        <f>ABS(G10-F10)</f>
        <v/>
      </c>
    </row>
    <row r="11">
      <c r="B11" s="17" t="inlineStr">
        <is>
          <t>Доля сохраненных средств → избежанный расход банка (A21)</t>
        </is>
      </c>
      <c r="C11" s="22">
        <f>'Допущения'!$D$65</f>
        <v/>
      </c>
      <c r="D11" s="13">
        <f>'Допущения'!$D$34*'KPI'!$F$7*'Допущения'!$D$65*(1-'Допущения'!$D$88)+'Допущения'!$D$43*('Допущения'!$D$48-'Допущения'!$D$49)*('Допущения'!$D$59+'Допущения'!$D$61*'Допущения'!$D$62/'Допущения'!$D$60)-'Затраты'!$C$25</f>
        <v/>
      </c>
      <c r="E11" s="13">
        <f>'Допущения'!$D$34*'KPI'!$F$7*'Допущения'!$D$65*(1+'Допущения'!$D$88)+'Допущения'!$D$43*('Допущения'!$D$48-'Допущения'!$D$49)*('Допущения'!$D$59+'Допущения'!$D$61*'Допущения'!$D$62/'Допущения'!$D$60)-'Затраты'!$C$25</f>
        <v/>
      </c>
      <c r="F11" s="13">
        <f>D11-$C$5</f>
        <v/>
      </c>
      <c r="G11" s="13">
        <f>E11-$C$5</f>
        <v/>
      </c>
      <c r="H11" s="13">
        <f>ABS(G11-F11)</f>
        <v/>
      </c>
    </row>
    <row r="12">
      <c r="B12" s="17" t="inlineStr">
        <is>
          <t>Стоимость одного ошибочного ограничения (A16), руб.</t>
        </is>
      </c>
      <c r="C12" s="19">
        <f>'Допущения'!$D$59</f>
        <v/>
      </c>
      <c r="D12" s="13">
        <f>'Допущения'!$D$34*'KPI'!$F$7*'Допущения'!$D$65+'Допущения'!$D$43*('Допущения'!$D$48-'Допущения'!$D$49)*('Допущения'!$D$59*(1-'Допущения'!$D$88)+'Допущения'!$D$61*'Допущения'!$D$62/'Допущения'!$D$60)-'Затраты'!$C$25</f>
        <v/>
      </c>
      <c r="E12" s="13">
        <f>'Допущения'!$D$34*'KPI'!$F$7*'Допущения'!$D$65+'Допущения'!$D$43*('Допущения'!$D$48-'Допущения'!$D$49)*('Допущения'!$D$59*(1+'Допущения'!$D$88)+'Допущения'!$D$61*'Допущения'!$D$62/'Допущения'!$D$60)-'Затраты'!$C$25</f>
        <v/>
      </c>
      <c r="F12" s="13">
        <f>D12-$C$5</f>
        <v/>
      </c>
      <c r="G12" s="13">
        <f>E12-$C$5</f>
        <v/>
      </c>
      <c r="H12" s="13">
        <f>ABS(G12-F12)</f>
        <v/>
      </c>
    </row>
    <row r="13">
      <c r="B13" s="17" t="inlineStr">
        <is>
          <t>Объем законных переводов в фокусе (A10), млн/год</t>
        </is>
      </c>
      <c r="C13" s="23">
        <f>'Допущения'!$D$43</f>
        <v/>
      </c>
      <c r="D13" s="13">
        <f>'Допущения'!$D$34*'KPI'!$F$7*'Допущения'!$D$65+'Допущения'!$D$43*(1-'Допущения'!$D$88)*('Допущения'!$D$48-'Допущения'!$D$49)*('Допущения'!$D$59+'Допущения'!$D$61*'Допущения'!$D$62/'Допущения'!$D$60)-'Затраты'!$C$25</f>
        <v/>
      </c>
      <c r="E13" s="13">
        <f>'Допущения'!$D$34*'KPI'!$F$7*'Допущения'!$D$65+'Допущения'!$D$43*(1+'Допущения'!$D$88)*('Допущения'!$D$48-'Допущения'!$D$49)*('Допущения'!$D$59+'Допущения'!$D$61*'Допущения'!$D$62/'Допущения'!$D$60)-'Затраты'!$C$25</f>
        <v/>
      </c>
      <c r="F13" s="13">
        <f>D13-$C$5</f>
        <v/>
      </c>
      <c r="G13" s="13">
        <f>E13-$C$5</f>
        <v/>
      </c>
      <c r="H13" s="13">
        <f>ABS(G13-F13)</f>
        <v/>
      </c>
    </row>
    <row r="14">
      <c r="B14" s="17" t="inlineStr">
        <is>
          <t>Ошибочные ограничения после (A13 = A11 × A12)</t>
        </is>
      </c>
      <c r="C14" s="24">
        <f>'Допущения'!$D$49</f>
        <v/>
      </c>
      <c r="D14" s="13">
        <f>'Допущения'!$D$34*'KPI'!$F$7*'Допущения'!$D$65+'Допущения'!$D$43*('Допущения'!$D$48-'Допущения'!$D$49*(1-'Допущения'!$D$88))*('Допущения'!$D$59+'Допущения'!$D$61*'Допущения'!$D$62/'Допущения'!$D$60)-'Затраты'!$C$25</f>
        <v/>
      </c>
      <c r="E14" s="13">
        <f>'Допущения'!$D$34*'KPI'!$F$7*'Допущения'!$D$65+'Допущения'!$D$43*('Допущения'!$D$48-'Допущения'!$D$49*(1+'Допущения'!$D$88))*('Допущения'!$D$59+'Допущения'!$D$61*'Допущения'!$D$62/'Допущения'!$D$60)-'Затраты'!$C$25</f>
        <v/>
      </c>
      <c r="F14" s="13">
        <f>D14-$C$5</f>
        <v/>
      </c>
      <c r="G14" s="13">
        <f>E14-$C$5</f>
        <v/>
      </c>
      <c r="H14" s="13">
        <f>ABS(G14-F14)</f>
        <v/>
      </c>
    </row>
    <row r="15">
      <c r="B15" s="17" t="inlineStr">
        <is>
          <t>Дополнительный отток после ограничения (A18)</t>
        </is>
      </c>
      <c r="C15" s="22">
        <f>'Допущения'!$D$61</f>
        <v/>
      </c>
      <c r="D15" s="13">
        <f>'Допущения'!$D$34*'KPI'!$F$7*'Допущения'!$D$65+'Допущения'!$D$43*('Допущения'!$D$48-'Допущения'!$D$49)*('Допущения'!$D$59+'Допущения'!$D$61*(1-'Допущения'!$D$88)*'Допущения'!$D$62/'Допущения'!$D$60)-'Затраты'!$C$25</f>
        <v/>
      </c>
      <c r="E15" s="13">
        <f>'Допущения'!$D$34*'KPI'!$F$7*'Допущения'!$D$65+'Допущения'!$D$43*('Допущения'!$D$48-'Допущения'!$D$49)*('Допущения'!$D$59+'Допущения'!$D$61*(1+'Допущения'!$D$88)*'Допущения'!$D$62/'Допущения'!$D$60)-'Затраты'!$C$25</f>
        <v/>
      </c>
      <c r="F15" s="13">
        <f>D15-$C$5</f>
        <v/>
      </c>
      <c r="G15" s="13">
        <f>E15-$C$5</f>
        <v/>
      </c>
      <c r="H15" s="13">
        <f>ABS(G15-F15)</f>
        <v/>
      </c>
    </row>
    <row r="16">
      <c r="B16" s="17" t="inlineStr">
        <is>
          <t>Годовой доход на клиента (A19), руб.</t>
        </is>
      </c>
      <c r="C16" s="21">
        <f>'Допущения'!$D$62</f>
        <v/>
      </c>
      <c r="D16" s="13">
        <f>'Допущения'!$D$34*'KPI'!$F$7*'Допущения'!$D$65+'Допущения'!$D$43*('Допущения'!$D$48-'Допущения'!$D$49)*('Допущения'!$D$59+'Допущения'!$D$61*'Допущения'!$D$62*(1-'Допущения'!$D$88)/'Допущения'!$D$60)-'Затраты'!$C$25</f>
        <v/>
      </c>
      <c r="E16" s="13">
        <f>'Допущения'!$D$34*'KPI'!$F$7*'Допущения'!$D$65+'Допущения'!$D$43*('Допущения'!$D$48-'Допущения'!$D$49)*('Допущения'!$D$59+'Допущения'!$D$61*'Допущения'!$D$62*(1+'Допущения'!$D$88)/'Допущения'!$D$60)-'Затраты'!$C$25</f>
        <v/>
      </c>
      <c r="F16" s="13">
        <f>D16-$C$5</f>
        <v/>
      </c>
      <c r="G16" s="13">
        <f>E16-$C$5</f>
        <v/>
      </c>
      <c r="H16" s="13">
        <f>ABS(G16-F16)</f>
        <v/>
      </c>
    </row>
    <row r="17">
      <c r="B17" s="17" t="inlineStr">
        <is>
          <t>Затраты на эксплуатацию (Opex), млн руб./год</t>
        </is>
      </c>
      <c r="C17" s="23">
        <f>'Затраты'!$C$25</f>
        <v/>
      </c>
      <c r="D17" s="13">
        <f>'Допущения'!$D$34*'KPI'!$F$7*'Допущения'!$D$65+'Допущения'!$D$43*('Допущения'!$D$48-'Допущения'!$D$49)*('Допущения'!$D$59+'Допущения'!$D$61*'Допущения'!$D$62/'Допущения'!$D$60)-'Затраты'!$C$25*(1-'Допущения'!$D$88)</f>
        <v/>
      </c>
      <c r="E17" s="13">
        <f>'Допущения'!$D$34*'KPI'!$F$7*'Допущения'!$D$65+'Допущения'!$D$43*('Допущения'!$D$48-'Допущения'!$D$49)*('Допущения'!$D$59+'Допущения'!$D$61*'Допущения'!$D$62/'Допущения'!$D$60)-'Затраты'!$C$25*(1+'Допущения'!$D$88)</f>
        <v/>
      </c>
      <c r="F17" s="13">
        <f>D17-$C$5</f>
        <v/>
      </c>
      <c r="G17" s="13">
        <f>E17-$C$5</f>
        <v/>
      </c>
      <c r="H17" s="13">
        <f>ABS(G17-F17)</f>
        <v/>
      </c>
    </row>
    <row r="19">
      <c r="B19" s="20" t="inlineStr">
        <is>
          <t>Эффект = A6 × сокращение потерь × A21 + A10 × (A13 сейчас − A13 после) × (A16 + A18 × A19 / A17) − Opex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Варианты В1-В4: взвешенная оценка, стоимость, срок, симуляция (слайд 3)</t>
        </is>
      </c>
    </row>
    <row r="2">
      <c r="A2" s="2" t="inlineStr">
        <is>
          <t>Иллюстрация механизма, не прогноз. Допущения команды (гипотезы помечены); данные рынка: Банк России, обзор ОБДС, I-II кв. 2026.</t>
        </is>
      </c>
    </row>
    <row r="4">
      <c r="A4" s="5" t="inlineStr"/>
      <c r="B4" s="5" t="inlineStr">
        <is>
          <t>Фактор</t>
        </is>
      </c>
      <c r="C4" s="5" t="inlineStr">
        <is>
          <t>Вес</t>
        </is>
      </c>
      <c r="D4" s="5" t="inlineStr">
        <is>
          <t>В1</t>
        </is>
      </c>
      <c r="E4" s="5" t="inlineStr">
        <is>
          <t>В2</t>
        </is>
      </c>
      <c r="F4" s="5" t="inlineStr">
        <is>
          <t>В3</t>
        </is>
      </c>
      <c r="G4" s="5" t="inlineStr">
        <is>
          <t>В4</t>
        </is>
      </c>
    </row>
    <row r="5">
      <c r="B5" s="33">
        <f>'Допущения'!$B$99</f>
        <v/>
      </c>
      <c r="C5" s="22">
        <f>'Допущения'!$C$99</f>
        <v/>
      </c>
      <c r="D5" s="21">
        <f>'Допущения'!$D$99</f>
        <v/>
      </c>
      <c r="E5" s="21">
        <f>'Допущения'!$E$99</f>
        <v/>
      </c>
      <c r="F5" s="21">
        <f>'Допущения'!$F$99</f>
        <v/>
      </c>
      <c r="G5" s="21">
        <f>'Допущения'!$G$99</f>
        <v/>
      </c>
    </row>
    <row r="6">
      <c r="B6" s="33">
        <f>'Допущения'!$B$100</f>
        <v/>
      </c>
      <c r="C6" s="22">
        <f>'Допущения'!$C$100</f>
        <v/>
      </c>
      <c r="D6" s="21">
        <f>'Допущения'!$D$100</f>
        <v/>
      </c>
      <c r="E6" s="21">
        <f>'Допущения'!$E$100</f>
        <v/>
      </c>
      <c r="F6" s="21">
        <f>'Допущения'!$F$100</f>
        <v/>
      </c>
      <c r="G6" s="21">
        <f>'Допущения'!$G$100</f>
        <v/>
      </c>
    </row>
    <row r="7">
      <c r="B7" s="33">
        <f>'Допущения'!$B$101</f>
        <v/>
      </c>
      <c r="C7" s="22">
        <f>'Допущения'!$C$101</f>
        <v/>
      </c>
      <c r="D7" s="21">
        <f>'Допущения'!$D$101</f>
        <v/>
      </c>
      <c r="E7" s="21">
        <f>'Допущения'!$E$101</f>
        <v/>
      </c>
      <c r="F7" s="21">
        <f>'Допущения'!$F$101</f>
        <v/>
      </c>
      <c r="G7" s="21">
        <f>'Допущения'!$G$101</f>
        <v/>
      </c>
    </row>
    <row r="8">
      <c r="B8" s="33">
        <f>'Допущения'!$B$102</f>
        <v/>
      </c>
      <c r="C8" s="22">
        <f>'Допущения'!$C$102</f>
        <v/>
      </c>
      <c r="D8" s="21">
        <f>'Допущения'!$D$102</f>
        <v/>
      </c>
      <c r="E8" s="21">
        <f>'Допущения'!$E$102</f>
        <v/>
      </c>
      <c r="F8" s="21">
        <f>'Допущения'!$F$102</f>
        <v/>
      </c>
      <c r="G8" s="21">
        <f>'Допущения'!$G$102</f>
        <v/>
      </c>
    </row>
    <row r="9">
      <c r="B9" s="33">
        <f>'Допущения'!$B$103</f>
        <v/>
      </c>
      <c r="C9" s="22">
        <f>'Допущения'!$C$103</f>
        <v/>
      </c>
      <c r="D9" s="21">
        <f>'Допущения'!$D$103</f>
        <v/>
      </c>
      <c r="E9" s="21">
        <f>'Допущения'!$E$103</f>
        <v/>
      </c>
      <c r="F9" s="21">
        <f>'Допущения'!$F$103</f>
        <v/>
      </c>
      <c r="G9" s="21">
        <f>'Допущения'!$G$103</f>
        <v/>
      </c>
    </row>
    <row r="10">
      <c r="B10" s="33">
        <f>'Допущения'!$B$104</f>
        <v/>
      </c>
      <c r="C10" s="22">
        <f>'Допущения'!$C$104</f>
        <v/>
      </c>
      <c r="D10" s="21">
        <f>'Допущения'!$D$104</f>
        <v/>
      </c>
      <c r="E10" s="21">
        <f>'Допущения'!$E$104</f>
        <v/>
      </c>
      <c r="F10" s="21">
        <f>'Допущения'!$F$104</f>
        <v/>
      </c>
      <c r="G10" s="21">
        <f>'Допущения'!$G$104</f>
        <v/>
      </c>
    </row>
    <row r="11">
      <c r="B11" s="33">
        <f>'Допущения'!$B$105</f>
        <v/>
      </c>
      <c r="C11" s="22">
        <f>'Допущения'!$C$105</f>
        <v/>
      </c>
      <c r="D11" s="21">
        <f>'Допущения'!$D$105</f>
        <v/>
      </c>
      <c r="E11" s="21">
        <f>'Допущения'!$E$105</f>
        <v/>
      </c>
      <c r="F11" s="21">
        <f>'Допущения'!$F$105</f>
        <v/>
      </c>
      <c r="G11" s="21">
        <f>'Допущения'!$G$105</f>
        <v/>
      </c>
    </row>
    <row r="12">
      <c r="B12" s="33">
        <f>'Допущения'!$B$106</f>
        <v/>
      </c>
      <c r="C12" s="22">
        <f>'Допущения'!$C$106</f>
        <v/>
      </c>
      <c r="D12" s="21">
        <f>'Допущения'!$D$106</f>
        <v/>
      </c>
      <c r="E12" s="21">
        <f>'Допущения'!$E$106</f>
        <v/>
      </c>
      <c r="F12" s="21">
        <f>'Допущения'!$F$106</f>
        <v/>
      </c>
      <c r="G12" s="21">
        <f>'Допущения'!$G$106</f>
        <v/>
      </c>
    </row>
    <row r="13">
      <c r="B13" s="18" t="inlineStr">
        <is>
          <t>Итого (взвешенная оценка)</t>
        </is>
      </c>
      <c r="D13" s="29">
        <f>SUMPRODUCT($C$5:$C$12,D5:D12)</f>
        <v/>
      </c>
      <c r="E13" s="29">
        <f>SUMPRODUCT($C$5:$C$12,E5:E12)</f>
        <v/>
      </c>
      <c r="F13" s="29">
        <f>SUMPRODUCT($C$5:$C$12,F5:F12)</f>
        <v/>
      </c>
      <c r="G13" s="29">
        <f>SUMPRODUCT($C$5:$C$12,G5:G12)</f>
        <v/>
      </c>
    </row>
    <row r="14">
      <c r="B14" s="17" t="inlineStr">
        <is>
          <t>Место</t>
        </is>
      </c>
      <c r="D14" s="16">
        <f>RANK(D13,$D$13:$G$13)</f>
        <v/>
      </c>
      <c r="E14" s="16">
        <f>RANK(E13,$D$13:$G$13)</f>
        <v/>
      </c>
      <c r="F14" s="16">
        <f>RANK(F13,$D$13:$G$13)</f>
        <v/>
      </c>
      <c r="G14" s="16">
        <f>RANK(G13,$D$13:$G$13)</f>
        <v/>
      </c>
    </row>
    <row r="16">
      <c r="A16" s="5" t="inlineStr"/>
      <c r="B16" s="5" t="inlineStr">
        <is>
          <t>Параметр</t>
        </is>
      </c>
      <c r="C16" s="5" t="inlineStr"/>
      <c r="D16" s="5" t="inlineStr">
        <is>
          <t>В1</t>
        </is>
      </c>
      <c r="E16" s="5" t="inlineStr">
        <is>
          <t>В2</t>
        </is>
      </c>
      <c r="F16" s="5" t="inlineStr">
        <is>
          <t>В3</t>
        </is>
      </c>
      <c r="G16" s="5" t="inlineStr">
        <is>
          <t>В4</t>
        </is>
      </c>
    </row>
    <row r="17">
      <c r="B17" s="17" t="inlineStr">
        <is>
          <t>Стоимость внедрения (оценка), млн руб.</t>
        </is>
      </c>
      <c r="D17" s="23">
        <f>'Допущения'!$D$81</f>
        <v/>
      </c>
      <c r="E17" s="23">
        <f>'Допущения'!$D$83</f>
        <v/>
      </c>
      <c r="F17" s="23">
        <f>'Затраты'!$C$11</f>
        <v/>
      </c>
      <c r="G17" s="23">
        <f>'Допущения'!$D$85</f>
        <v/>
      </c>
    </row>
    <row r="18">
      <c r="B18" s="17" t="inlineStr">
        <is>
          <t>Срок внедрения (оценка), мес.</t>
        </is>
      </c>
      <c r="D18" s="21">
        <f>'Допущения'!$D$82</f>
        <v/>
      </c>
      <c r="E18" s="21">
        <f>'Допущения'!$D$84</f>
        <v/>
      </c>
      <c r="F18" s="21">
        <f>'Допущения'!$D$70</f>
        <v/>
      </c>
      <c r="G18" s="21">
        <f>'Допущения'!$D$86</f>
        <v/>
      </c>
    </row>
    <row r="19">
      <c r="B19" s="17" t="inlineStr">
        <is>
          <t>В рамках кейса (≤ 50 млн, ≤ 6 мес.)?</t>
        </is>
      </c>
      <c r="D19" s="17">
        <f>IF(AND(D17&lt;='Допущения'!$D$9,D18&lt;='Допущения'!$D$10),"Да","Нет")</f>
        <v/>
      </c>
      <c r="E19" s="17">
        <f>IF(AND(E17&lt;='Допущения'!$D$9,E18&lt;='Допущения'!$D$10),"Да","Нет")</f>
        <v/>
      </c>
      <c r="F19" s="17">
        <f>IF(AND(F17&lt;='Допущения'!$D$9,F18&lt;='Допущения'!$D$10),"Да","Нет")</f>
        <v/>
      </c>
      <c r="G19" s="17">
        <f>IF(AND(G17&lt;='Допущения'!$D$9,G18&lt;='Допущения'!$D$10),"Да","Нет")</f>
        <v/>
      </c>
    </row>
    <row r="21">
      <c r="A21" s="6" t="inlineStr">
        <is>
          <t>Симуляция на синтетических данных: иллюстрация механизма, не прогноз (значения из out/sim_variants_metrics.csv)</t>
        </is>
      </c>
      <c r="B21" s="6" t="n"/>
      <c r="C21" s="6" t="n"/>
      <c r="D21" s="6" t="n"/>
      <c r="E21" s="6" t="n"/>
      <c r="F21" s="6" t="n"/>
      <c r="G21" s="6" t="n"/>
    </row>
    <row r="22">
      <c r="A22" s="5" t="inlineStr"/>
      <c r="B22" s="5" t="inlineStr">
        <is>
          <t>Метрика</t>
        </is>
      </c>
      <c r="C22" s="5" t="inlineStr">
        <is>
          <t>Ед.</t>
        </is>
      </c>
      <c r="D22" s="5" t="inlineStr">
        <is>
          <t>В1</t>
        </is>
      </c>
      <c r="E22" s="5" t="inlineStr">
        <is>
          <t>В2</t>
        </is>
      </c>
      <c r="F22" s="5" t="inlineStr">
        <is>
          <t>В3</t>
        </is>
      </c>
      <c r="G22" s="5" t="inlineStr">
        <is>
          <t>В4</t>
        </is>
      </c>
    </row>
    <row r="23">
      <c r="B23" s="17" t="inlineStr">
        <is>
          <t>TP: мошеннические операции с сигналом</t>
        </is>
      </c>
      <c r="C23" s="17" t="inlineStr">
        <is>
          <t>шт.</t>
        </is>
      </c>
      <c r="D23" s="16" t="n">
        <v>532</v>
      </c>
      <c r="E23" s="16" t="n">
        <v>564</v>
      </c>
      <c r="F23" s="16" t="n">
        <v>629</v>
      </c>
      <c r="G23" s="16" t="n">
        <v>488</v>
      </c>
    </row>
    <row r="24">
      <c r="B24" s="17" t="inlineStr">
        <is>
          <t>FP: законные операции с сигналом</t>
        </is>
      </c>
      <c r="C24" s="17" t="inlineStr">
        <is>
          <t>шт.</t>
        </is>
      </c>
      <c r="D24" s="16" t="n">
        <v>4996</v>
      </c>
      <c r="E24" s="16" t="n">
        <v>1139</v>
      </c>
      <c r="F24" s="16" t="n">
        <v>3092</v>
      </c>
      <c r="G24" s="16" t="n">
        <v>1200</v>
      </c>
    </row>
    <row r="25">
      <c r="B25" s="17" t="inlineStr">
        <is>
          <t>FN: мошеннические операции без сигнала</t>
        </is>
      </c>
      <c r="C25" s="17" t="inlineStr">
        <is>
          <t>шт.</t>
        </is>
      </c>
      <c r="D25" s="16" t="n">
        <v>161</v>
      </c>
      <c r="E25" s="16" t="n">
        <v>129</v>
      </c>
      <c r="F25" s="16" t="n">
        <v>64</v>
      </c>
      <c r="G25" s="16" t="n">
        <v>205</v>
      </c>
    </row>
    <row r="26">
      <c r="B26" s="17" t="inlineStr">
        <is>
          <t>TN: законные операции без сигнала</t>
        </is>
      </c>
      <c r="C26" s="17" t="inlineStr">
        <is>
          <t>шт.</t>
        </is>
      </c>
      <c r="D26" s="16" t="n">
        <v>223629</v>
      </c>
      <c r="E26" s="16" t="n">
        <v>227486</v>
      </c>
      <c r="F26" s="16" t="n">
        <v>225533</v>
      </c>
      <c r="G26" s="16" t="n">
        <v>227425</v>
      </c>
    </row>
    <row r="27">
      <c r="B27" s="17" t="inlineStr">
        <is>
          <t>Точность = TP / (TP + FP)</t>
        </is>
      </c>
      <c r="C27" s="17" t="inlineStr">
        <is>
          <t>%</t>
        </is>
      </c>
      <c r="D27" s="14" t="n">
        <v>0.09623733719247468</v>
      </c>
      <c r="E27" s="14" t="n">
        <v>0.3311802701115678</v>
      </c>
      <c r="F27" s="14" t="n">
        <v>0.1690405804891158</v>
      </c>
      <c r="G27" s="14" t="n">
        <v>0.2890995260663507</v>
      </c>
    </row>
    <row r="28">
      <c r="B28" s="17" t="inlineStr">
        <is>
          <t>Полнота = TP / (TP + FN)</t>
        </is>
      </c>
      <c r="C28" s="17" t="inlineStr">
        <is>
          <t>%</t>
        </is>
      </c>
      <c r="D28" s="14" t="n">
        <v>0.7676767676767676</v>
      </c>
      <c r="E28" s="14" t="n">
        <v>0.8138528138528138</v>
      </c>
      <c r="F28" s="14" t="n">
        <v>0.9076479076479076</v>
      </c>
      <c r="G28" s="14" t="n">
        <v>0.7041847041847041</v>
      </c>
    </row>
    <row r="29">
      <c r="B29" s="17" t="inlineStr">
        <is>
          <t>Доля ложных срабатываний среди законных = FP / (FP + TN)</t>
        </is>
      </c>
      <c r="C29" s="17" t="inlineStr">
        <is>
          <t>%</t>
        </is>
      </c>
      <c r="D29" s="15" t="n">
        <v>0.0218523783488245</v>
      </c>
      <c r="E29" s="15" t="n">
        <v>0.004981957353745216</v>
      </c>
      <c r="F29" s="15" t="n">
        <v>0.01352433023510115</v>
      </c>
      <c r="G29" s="15" t="n">
        <v>0.005248769819573538</v>
      </c>
    </row>
    <row r="30">
      <c r="B30" s="17" t="inlineStr">
        <is>
          <t>Ошибочные ограничения (законные операции остановлены)</t>
        </is>
      </c>
      <c r="C30" s="17" t="inlineStr">
        <is>
          <t>шт.</t>
        </is>
      </c>
      <c r="D30" s="16" t="n">
        <v>1213.2</v>
      </c>
      <c r="E30" s="16" t="n">
        <v>1139</v>
      </c>
      <c r="F30" s="16" t="n">
        <v>1094.76</v>
      </c>
      <c r="G30" s="16" t="n">
        <v>1200</v>
      </c>
    </row>
    <row r="31">
      <c r="B31" s="17" t="inlineStr">
        <is>
          <t>Ошибочные ограничения, доля законных</t>
        </is>
      </c>
      <c r="C31" s="17" t="inlineStr">
        <is>
          <t>%</t>
        </is>
      </c>
      <c r="D31" s="15" t="n">
        <v>0.005306506287588847</v>
      </c>
      <c r="E31" s="15" t="n">
        <v>0.004981957353745216</v>
      </c>
      <c r="F31" s="15" t="n">
        <v>0.004788452706396938</v>
      </c>
      <c r="G31" s="15" t="n">
        <v>0.005248769819573538</v>
      </c>
    </row>
    <row r="32">
      <c r="B32" s="17" t="inlineStr">
        <is>
          <t>Доля сигналов, снятых без ограничения</t>
        </is>
      </c>
      <c r="C32" s="17" t="inlineStr">
        <is>
          <t>%</t>
        </is>
      </c>
      <c r="D32" s="14" t="n">
        <v>0.7571657325860688</v>
      </c>
      <c r="E32" s="14" t="n">
        <v>0</v>
      </c>
      <c r="F32" s="14" t="n">
        <v>0.6459379042690815</v>
      </c>
      <c r="G32" s="14" t="n">
        <v>0</v>
      </c>
    </row>
    <row r="33">
      <c r="B33" s="17" t="inlineStr">
        <is>
          <t>Предотвращенные потери, % от суммы попыток</t>
        </is>
      </c>
      <c r="C33" s="17" t="inlineStr">
        <is>
          <t>%</t>
        </is>
      </c>
      <c r="D33" s="14" t="n">
        <v>0.5366877800063694</v>
      </c>
      <c r="E33" s="14" t="n">
        <v>0.6104480407553784</v>
      </c>
      <c r="F33" s="14" t="n">
        <v>0.7289127046497508</v>
      </c>
      <c r="G33" s="14" t="n">
        <v>0.6238163619690894</v>
      </c>
    </row>
    <row r="34">
      <c r="B34" s="17" t="inlineStr">
        <is>
          <t>Непредотвращенные потери, % от суммы попыток</t>
        </is>
      </c>
      <c r="C34" s="17" t="inlineStr">
        <is>
          <t>%</t>
        </is>
      </c>
      <c r="D34" s="14" t="n">
        <v>0.4633122199936306</v>
      </c>
      <c r="E34" s="14" t="n">
        <v>0.3895519592446216</v>
      </c>
      <c r="F34" s="14" t="n">
        <v>0.2710872953502492</v>
      </c>
      <c r="G34" s="14" t="n">
        <v>0.3761836380309106</v>
      </c>
    </row>
    <row r="35">
      <c r="B35" s="17" t="inlineStr">
        <is>
          <t>Ошибочные ограничения при равных потерях (35% суммы попыток)</t>
        </is>
      </c>
      <c r="C35" s="17" t="inlineStr">
        <is>
          <t>%</t>
        </is>
      </c>
      <c r="D35" s="15" t="n">
        <v>0.01296218698742482</v>
      </c>
      <c r="E35" s="15" t="n">
        <v>0.008196828868234007</v>
      </c>
      <c r="F35" s="15" t="n">
        <v>0.003726364133406233</v>
      </c>
      <c r="G35" s="15" t="n">
        <v>0.0057255330781848</v>
      </c>
    </row>
    <row r="36">
      <c r="B36" s="20" t="inlineStr">
        <is>
          <t>Синтетические данные; сигнал = любая мера кроме «пропустить», ограничение = пауза, звонок, отказ.</t>
        </is>
      </c>
    </row>
    <row r="37">
      <c r="B37" s="20" t="inlineStr">
        <is>
          <t>Рабочие точки: В1 базовые пороги; В2-В4 минимум потерь при ограничениях не выше, чем у В1 (равное трение).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2026-10-28T10:05:42Z</dcterms:created>
  <dcterms:modified xsi:type="dcterms:W3CDTF">2026-10-28T10:05:42Z</dcterms:modified>
</cp:coreProperties>
</file>